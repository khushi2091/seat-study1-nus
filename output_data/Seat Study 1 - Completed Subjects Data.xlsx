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admin\Documents\SIA-NUS\"/>
    </mc:Choice>
  </mc:AlternateContent>
  <xr:revisionPtr revIDLastSave="0" documentId="13_ncr:1_{C2E3DA43-43EA-48DF-B28E-9D53E52A3E52}" xr6:coauthVersionLast="47" xr6:coauthVersionMax="47" xr10:uidLastSave="{00000000-0000-0000-0000-000000000000}"/>
  <workbookProtection workbookAlgorithmName="SHA-512" workbookHashValue="islBTyvALtg+sM3r3T8qt9U/5x/aEMEIzUQoQQQq2l9peoM0QynTWvAJ288ZhWpsGlXZrSGy2fyHNVxH3ClMDA==" workbookSaltValue="9zQpBa8Z9y8Uug4HGmb/sA==" workbookSpinCount="100000" lockStructure="1"/>
  <bookViews>
    <workbookView xWindow="-120" yWindow="-120" windowWidth="29040" windowHeight="15840" xr2:uid="{AA15CC1E-C906-E342-981E-E6333F3F18AF}"/>
  </bookViews>
  <sheets>
    <sheet name="BodyData-Timings" sheetId="1" r:id="rId1"/>
    <sheet name="Pre-Q" sheetId="3" r:id="rId2"/>
    <sheet name="Post-Q" sheetId="4" r:id="rId3"/>
    <sheet name="Dropdown" sheetId="2" r:id="rId4"/>
  </sheets>
  <definedNames>
    <definedName name="_xlnm._FilterDatabase" localSheetId="0" hidden="1">'BodyData-Timings'!$D$1:$D$218</definedName>
    <definedName name="_xlnm._FilterDatabase" localSheetId="2" hidden="1">'Post-Q'!$A$1:$S$215</definedName>
    <definedName name="_xlnm._FilterDatabase" localSheetId="1" hidden="1">'Pre-Q'!$B$1:$B$217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27" i="3" l="1"/>
  <c r="I227" i="3"/>
  <c r="H227" i="3"/>
  <c r="F227" i="3"/>
  <c r="E227" i="3"/>
  <c r="L219" i="4"/>
  <c r="M219" i="4"/>
  <c r="N219" i="4"/>
  <c r="O219" i="4"/>
  <c r="P219" i="4"/>
  <c r="Q219" i="4"/>
  <c r="K219" i="4"/>
  <c r="K218" i="4"/>
  <c r="S218" i="4"/>
  <c r="L218" i="4"/>
  <c r="M218" i="4"/>
  <c r="N218" i="4"/>
  <c r="O218" i="4"/>
  <c r="P218" i="4"/>
  <c r="Q218" i="4"/>
  <c r="AE217" i="1"/>
  <c r="AB217" i="1"/>
  <c r="Y217" i="1"/>
  <c r="Y212" i="1"/>
  <c r="AB207" i="1"/>
  <c r="H184" i="1"/>
  <c r="H210" i="1"/>
  <c r="H211" i="1"/>
  <c r="H212" i="1"/>
  <c r="H213" i="1"/>
  <c r="H214" i="1"/>
  <c r="H215" i="1"/>
  <c r="H216" i="1"/>
  <c r="AE206" i="1"/>
  <c r="AE207" i="1"/>
  <c r="AE208" i="1"/>
  <c r="AE209" i="1"/>
  <c r="AE210" i="1"/>
  <c r="AE211" i="1"/>
  <c r="AE212" i="1"/>
  <c r="AE213" i="1"/>
  <c r="AE214" i="1"/>
  <c r="AE215" i="1"/>
  <c r="AE216" i="1"/>
  <c r="Y210" i="1"/>
  <c r="Y211" i="1"/>
  <c r="Y213" i="1"/>
  <c r="Y214" i="1"/>
  <c r="Y215" i="1"/>
  <c r="Y216" i="1"/>
  <c r="AB206" i="1"/>
  <c r="AB208" i="1"/>
  <c r="AB209" i="1"/>
  <c r="AB210" i="1"/>
  <c r="AB211" i="1"/>
  <c r="AB212" i="1"/>
  <c r="AB213" i="1"/>
  <c r="AB214" i="1"/>
  <c r="AB215" i="1"/>
  <c r="AB216" i="1"/>
  <c r="Y206" i="1"/>
  <c r="Y207" i="1"/>
  <c r="Y208" i="1"/>
  <c r="Y209" i="1"/>
  <c r="H206" i="1"/>
  <c r="H207" i="1"/>
  <c r="H208" i="1"/>
  <c r="H209" i="1"/>
  <c r="BC9" i="1"/>
  <c r="BC10" i="1"/>
  <c r="BC11" i="1"/>
  <c r="BC12" i="1"/>
  <c r="BC13" i="1"/>
  <c r="BC14" i="1"/>
  <c r="BC15" i="1"/>
  <c r="BC16" i="1"/>
  <c r="BC17" i="1"/>
  <c r="BC18" i="1"/>
  <c r="BC19" i="1"/>
  <c r="BC20" i="1"/>
  <c r="BC21" i="1"/>
  <c r="BC22" i="1"/>
  <c r="BC23" i="1"/>
  <c r="BC24" i="1"/>
  <c r="BC25" i="1"/>
  <c r="BC26" i="1"/>
  <c r="BC27" i="1"/>
  <c r="BC28" i="1"/>
  <c r="BC29" i="1"/>
  <c r="BC30" i="1"/>
  <c r="BC31" i="1"/>
  <c r="BC32" i="1"/>
  <c r="BC33" i="1"/>
  <c r="BC34" i="1"/>
  <c r="BC35" i="1"/>
  <c r="BC36" i="1"/>
  <c r="BC37" i="1"/>
  <c r="BC38" i="1"/>
  <c r="BC39" i="1"/>
  <c r="BC40" i="1"/>
  <c r="BC41" i="1"/>
  <c r="BC42" i="1"/>
  <c r="BC43" i="1"/>
  <c r="BC44" i="1"/>
  <c r="BC45" i="1"/>
  <c r="BC46" i="1"/>
  <c r="BC47" i="1"/>
  <c r="BC48" i="1"/>
  <c r="BC49" i="1"/>
  <c r="BC50" i="1"/>
  <c r="BC51" i="1"/>
  <c r="BC52" i="1"/>
  <c r="BC53" i="1"/>
  <c r="BC54" i="1"/>
  <c r="BC55" i="1"/>
  <c r="BC56" i="1"/>
  <c r="BC57" i="1"/>
  <c r="BC58" i="1"/>
  <c r="BC59" i="1"/>
  <c r="BC60" i="1"/>
  <c r="BC61" i="1"/>
  <c r="BC62" i="1"/>
  <c r="BC63" i="1"/>
  <c r="BC64" i="1"/>
  <c r="BC65" i="1"/>
  <c r="BC66" i="1"/>
  <c r="BC67" i="1"/>
  <c r="BC68" i="1"/>
  <c r="BC69" i="1"/>
  <c r="BC70" i="1"/>
  <c r="BC71" i="1"/>
  <c r="BC73" i="1"/>
  <c r="BC74" i="1"/>
  <c r="BC75" i="1"/>
  <c r="BC76" i="1"/>
  <c r="BC77" i="1"/>
  <c r="BC78" i="1"/>
  <c r="BC79" i="1"/>
  <c r="BC80" i="1"/>
  <c r="BC81" i="1"/>
  <c r="BC82" i="1"/>
  <c r="BC83" i="1"/>
  <c r="BC84" i="1"/>
  <c r="BC85" i="1"/>
  <c r="BC86" i="1"/>
  <c r="BC87" i="1"/>
  <c r="BC88" i="1"/>
  <c r="BC89" i="1"/>
  <c r="BC90" i="1"/>
  <c r="BC91" i="1"/>
  <c r="BC92" i="1"/>
  <c r="BC93" i="1"/>
  <c r="BC94" i="1"/>
  <c r="BC95" i="1"/>
  <c r="BC96" i="1"/>
  <c r="BC97" i="1"/>
  <c r="BC98" i="1"/>
  <c r="BC99" i="1"/>
  <c r="BC100" i="1"/>
  <c r="BC101" i="1"/>
  <c r="BC102" i="1"/>
  <c r="BC103" i="1"/>
  <c r="BC104" i="1"/>
  <c r="BC105" i="1"/>
  <c r="BC106" i="1"/>
  <c r="BC107" i="1"/>
  <c r="BC108" i="1"/>
  <c r="BC109" i="1"/>
  <c r="BC110" i="1"/>
  <c r="BC111" i="1"/>
  <c r="BC112" i="1"/>
  <c r="BC113" i="1"/>
  <c r="BC114" i="1"/>
  <c r="BC115" i="1"/>
  <c r="BC116" i="1"/>
  <c r="BC117" i="1"/>
  <c r="BC118" i="1"/>
  <c r="BC119" i="1"/>
  <c r="BC120" i="1"/>
  <c r="BC121" i="1"/>
  <c r="BC122" i="1"/>
  <c r="BC123" i="1"/>
  <c r="BC124" i="1"/>
  <c r="BC125" i="1"/>
  <c r="BC126" i="1"/>
  <c r="BC127" i="1"/>
  <c r="BC128" i="1"/>
  <c r="BC129" i="1"/>
  <c r="BC130" i="1"/>
  <c r="BC131" i="1"/>
  <c r="BC132" i="1"/>
  <c r="BC133" i="1"/>
  <c r="BC134" i="1"/>
  <c r="BC135" i="1"/>
  <c r="BC136" i="1"/>
  <c r="BC137" i="1"/>
  <c r="BC138" i="1"/>
  <c r="BC139" i="1"/>
  <c r="BC140" i="1"/>
  <c r="BC141" i="1"/>
  <c r="BC142" i="1"/>
  <c r="BC143" i="1"/>
  <c r="BC144" i="1"/>
  <c r="BC145" i="1"/>
  <c r="BC146" i="1"/>
  <c r="BC147" i="1"/>
  <c r="BC148" i="1"/>
  <c r="BC149" i="1"/>
  <c r="BC150" i="1"/>
  <c r="BC151" i="1"/>
  <c r="BC152" i="1"/>
  <c r="BC153" i="1"/>
  <c r="BC154" i="1"/>
  <c r="BC155" i="1"/>
  <c r="BC156" i="1"/>
  <c r="BC157" i="1"/>
  <c r="BC158" i="1"/>
  <c r="BC159" i="1"/>
  <c r="BC160" i="1"/>
  <c r="BC161" i="1"/>
  <c r="BC162" i="1"/>
  <c r="BC163" i="1"/>
  <c r="BC164" i="1"/>
  <c r="BC165" i="1"/>
  <c r="BC166" i="1"/>
  <c r="BC167" i="1"/>
  <c r="BC168" i="1"/>
  <c r="BC169" i="1"/>
  <c r="BC170" i="1"/>
  <c r="BC171" i="1"/>
  <c r="BC172" i="1"/>
  <c r="BC173" i="1"/>
  <c r="BC174" i="1"/>
  <c r="BC175" i="1"/>
  <c r="BC176" i="1"/>
  <c r="BC177" i="1"/>
  <c r="BC178" i="1"/>
  <c r="BC179" i="1"/>
  <c r="BC180" i="1"/>
  <c r="BC181" i="1"/>
  <c r="BC182" i="1"/>
  <c r="BC183" i="1"/>
  <c r="BC184" i="1"/>
  <c r="BC185" i="1"/>
  <c r="BC186" i="1"/>
  <c r="BC187" i="1"/>
  <c r="BC188" i="1"/>
  <c r="BC189" i="1"/>
  <c r="BC190" i="1"/>
  <c r="BC191" i="1"/>
  <c r="BC192" i="1"/>
  <c r="BC193" i="1"/>
  <c r="BC194" i="1"/>
  <c r="BC195" i="1"/>
  <c r="BC196" i="1"/>
  <c r="BC197" i="1"/>
  <c r="BC198" i="1"/>
  <c r="BC199" i="1"/>
  <c r="BC200" i="1"/>
  <c r="BC201" i="1"/>
  <c r="BC202" i="1"/>
  <c r="BC203" i="1"/>
  <c r="BC204" i="1"/>
  <c r="BC205" i="1"/>
  <c r="BC206" i="1"/>
  <c r="BC207" i="1"/>
  <c r="BC208" i="1"/>
  <c r="BC209" i="1"/>
  <c r="BC210" i="1"/>
  <c r="BC211" i="1"/>
  <c r="BC212" i="1"/>
  <c r="BC213" i="1"/>
  <c r="BC214" i="1"/>
  <c r="BC215" i="1"/>
  <c r="BC216" i="1"/>
  <c r="BC4" i="1"/>
  <c r="BC5" i="1"/>
  <c r="BC6" i="1"/>
  <c r="BC7" i="1"/>
  <c r="BC8" i="1"/>
  <c r="BC3" i="1"/>
  <c r="AE169" i="1"/>
  <c r="AE170" i="1"/>
  <c r="AE171" i="1"/>
  <c r="AE172" i="1"/>
  <c r="AE173" i="1"/>
  <c r="AE174" i="1"/>
  <c r="AE175" i="1"/>
  <c r="AE176" i="1"/>
  <c r="AE177" i="1"/>
  <c r="AE178" i="1"/>
  <c r="AE179" i="1"/>
  <c r="AE180" i="1"/>
  <c r="AE181" i="1"/>
  <c r="AE182" i="1"/>
  <c r="AE183" i="1"/>
  <c r="AE184" i="1"/>
  <c r="AE185" i="1"/>
  <c r="AE186" i="1"/>
  <c r="AE187" i="1"/>
  <c r="AE188" i="1"/>
  <c r="AE189" i="1"/>
  <c r="AE190" i="1"/>
  <c r="AE191" i="1"/>
  <c r="AE192" i="1"/>
  <c r="AE193" i="1"/>
  <c r="AE194" i="1"/>
  <c r="AE195" i="1"/>
  <c r="AE196" i="1"/>
  <c r="AE197" i="1"/>
  <c r="AE198" i="1"/>
  <c r="AE199" i="1"/>
  <c r="AE200" i="1"/>
  <c r="AE201" i="1"/>
  <c r="AE202" i="1"/>
  <c r="AE203" i="1"/>
  <c r="AE204" i="1"/>
  <c r="AE205" i="1"/>
  <c r="AB173" i="1"/>
  <c r="AB174" i="1"/>
  <c r="AB175" i="1"/>
  <c r="AB176" i="1"/>
  <c r="AB177" i="1"/>
  <c r="AB178" i="1"/>
  <c r="AB179" i="1"/>
  <c r="AB180" i="1"/>
  <c r="AB181" i="1"/>
  <c r="AB182" i="1"/>
  <c r="AB183" i="1"/>
  <c r="AB184" i="1"/>
  <c r="AB185" i="1"/>
  <c r="AB186" i="1"/>
  <c r="AB187" i="1"/>
  <c r="AB188" i="1"/>
  <c r="AB189" i="1"/>
  <c r="AB190" i="1"/>
  <c r="AB191" i="1"/>
  <c r="AB192" i="1"/>
  <c r="AB193" i="1"/>
  <c r="AB194" i="1"/>
  <c r="AB195" i="1"/>
  <c r="AB196" i="1"/>
  <c r="AB197" i="1"/>
  <c r="AB198" i="1"/>
  <c r="AB199" i="1"/>
  <c r="AB200" i="1"/>
  <c r="AB201" i="1"/>
  <c r="AB202" i="1"/>
  <c r="AB203" i="1"/>
  <c r="AB204" i="1"/>
  <c r="AB205" i="1"/>
  <c r="Y174" i="1"/>
  <c r="Y175" i="1"/>
  <c r="Y176" i="1"/>
  <c r="Y177" i="1"/>
  <c r="Y178" i="1"/>
  <c r="Y179" i="1"/>
  <c r="Y180" i="1"/>
  <c r="Y181" i="1"/>
  <c r="Y182" i="1"/>
  <c r="Y183" i="1"/>
  <c r="Y184" i="1"/>
  <c r="Y185" i="1"/>
  <c r="Y186" i="1"/>
  <c r="Y187" i="1"/>
  <c r="Y188" i="1"/>
  <c r="Y189" i="1"/>
  <c r="Y190" i="1"/>
  <c r="Y191" i="1"/>
  <c r="Y192" i="1"/>
  <c r="Y193" i="1"/>
  <c r="Y194" i="1"/>
  <c r="Y195" i="1"/>
  <c r="Y196" i="1"/>
  <c r="Y197" i="1"/>
  <c r="Y198" i="1"/>
  <c r="Y199" i="1"/>
  <c r="Y200" i="1"/>
  <c r="Y201" i="1"/>
  <c r="Y202" i="1"/>
  <c r="Y203" i="1"/>
  <c r="Y204" i="1"/>
  <c r="Y205" i="1"/>
  <c r="H204" i="1"/>
  <c r="H205" i="1"/>
  <c r="H198" i="1"/>
  <c r="H199" i="1"/>
  <c r="H200" i="1"/>
  <c r="H201" i="1"/>
  <c r="H202" i="1"/>
  <c r="H203" i="1"/>
  <c r="H183" i="1"/>
  <c r="H185" i="1"/>
  <c r="H186" i="1"/>
  <c r="H187" i="1"/>
  <c r="H188" i="1"/>
  <c r="H189" i="1"/>
  <c r="H190" i="1"/>
  <c r="H191" i="1"/>
  <c r="H192" i="1"/>
  <c r="H193" i="1"/>
  <c r="H194" i="1"/>
  <c r="H195" i="1"/>
  <c r="H196" i="1"/>
  <c r="H197" i="1"/>
  <c r="H170" i="1"/>
  <c r="H171" i="1"/>
  <c r="H172" i="1"/>
  <c r="H173" i="1"/>
  <c r="H174" i="1"/>
  <c r="H175" i="1"/>
  <c r="H176" i="1"/>
  <c r="H177" i="1"/>
  <c r="H178" i="1"/>
  <c r="H179" i="1"/>
  <c r="H180" i="1"/>
  <c r="H181" i="1"/>
  <c r="H182" i="1"/>
  <c r="AB155" i="1"/>
  <c r="AB156" i="1"/>
  <c r="AB157" i="1"/>
  <c r="AB158" i="1"/>
  <c r="AB159" i="1"/>
  <c r="AB168" i="1"/>
  <c r="AE143" i="1"/>
  <c r="AE144" i="1"/>
  <c r="AE145" i="1"/>
  <c r="AE146" i="1"/>
  <c r="AE147" i="1"/>
  <c r="AE148" i="1"/>
  <c r="AE149" i="1"/>
  <c r="AE150" i="1"/>
  <c r="AE151" i="1"/>
  <c r="AE152" i="1"/>
  <c r="AE153" i="1"/>
  <c r="AE154" i="1"/>
  <c r="AE155" i="1"/>
  <c r="AE156" i="1"/>
  <c r="AE157" i="1"/>
  <c r="AE158" i="1"/>
  <c r="AE159" i="1"/>
  <c r="AE160" i="1"/>
  <c r="AE161" i="1"/>
  <c r="AE162" i="1"/>
  <c r="AE163" i="1"/>
  <c r="AE164" i="1"/>
  <c r="AE165" i="1"/>
  <c r="AE166" i="1"/>
  <c r="AE167" i="1"/>
  <c r="AE168" i="1"/>
  <c r="AB144" i="1"/>
  <c r="AB145" i="1"/>
  <c r="AB146" i="1"/>
  <c r="AB147" i="1"/>
  <c r="AB148" i="1"/>
  <c r="AB149" i="1"/>
  <c r="AB150" i="1"/>
  <c r="AB151" i="1"/>
  <c r="AB152" i="1"/>
  <c r="AB153" i="1"/>
  <c r="AB154" i="1"/>
  <c r="AB160" i="1"/>
  <c r="AB161" i="1"/>
  <c r="AB162" i="1"/>
  <c r="AB163" i="1"/>
  <c r="AB164" i="1"/>
  <c r="AB165" i="1"/>
  <c r="AB166" i="1"/>
  <c r="AB167" i="1"/>
  <c r="AB169" i="1"/>
  <c r="AB170" i="1"/>
  <c r="AB171" i="1"/>
  <c r="AB172" i="1"/>
  <c r="Y138" i="1"/>
  <c r="Y139" i="1"/>
  <c r="Y140" i="1"/>
  <c r="Y141" i="1"/>
  <c r="Y142" i="1"/>
  <c r="Y143" i="1"/>
  <c r="Y144" i="1"/>
  <c r="Y145" i="1"/>
  <c r="Y146" i="1"/>
  <c r="Y147" i="1"/>
  <c r="Y148" i="1"/>
  <c r="Y149" i="1"/>
  <c r="Y150" i="1"/>
  <c r="Y151" i="1"/>
  <c r="Y152" i="1"/>
  <c r="Y153" i="1"/>
  <c r="Y154" i="1"/>
  <c r="Y155" i="1"/>
  <c r="Y156" i="1"/>
  <c r="Y157" i="1"/>
  <c r="Y158" i="1"/>
  <c r="Y159" i="1"/>
  <c r="Y160" i="1"/>
  <c r="Y161" i="1"/>
  <c r="Y162" i="1"/>
  <c r="Y163" i="1"/>
  <c r="Y164" i="1"/>
  <c r="Y165" i="1"/>
  <c r="Y166" i="1"/>
  <c r="Y167" i="1"/>
  <c r="Y168" i="1"/>
  <c r="Y169" i="1"/>
  <c r="Y170" i="1"/>
  <c r="Y171" i="1"/>
  <c r="Y172" i="1"/>
  <c r="Y173" i="1"/>
  <c r="H163" i="1"/>
  <c r="H164" i="1"/>
  <c r="H165" i="1"/>
  <c r="H166" i="1"/>
  <c r="H167" i="1"/>
  <c r="H168" i="1"/>
  <c r="H169" i="1"/>
  <c r="U72" i="1"/>
  <c r="H162" i="1"/>
  <c r="H161" i="1"/>
  <c r="H160" i="1"/>
  <c r="H159" i="1"/>
  <c r="H158" i="1"/>
  <c r="H157" i="1"/>
  <c r="H156" i="1"/>
  <c r="H155" i="1"/>
  <c r="H154" i="1"/>
  <c r="H153" i="1"/>
  <c r="H149" i="1"/>
  <c r="H150" i="1"/>
  <c r="H151" i="1"/>
  <c r="H152" i="1"/>
  <c r="H145" i="1"/>
  <c r="H146" i="1"/>
  <c r="H147" i="1"/>
  <c r="H148" i="1"/>
  <c r="H141" i="1"/>
  <c r="H142" i="1"/>
  <c r="H143" i="1"/>
  <c r="H144" i="1"/>
  <c r="AB141" i="1"/>
  <c r="AE138" i="1"/>
  <c r="AE139" i="1"/>
  <c r="AE140" i="1"/>
  <c r="AE141" i="1"/>
  <c r="AE142" i="1"/>
  <c r="AB138" i="1"/>
  <c r="AB139" i="1"/>
  <c r="AB140" i="1"/>
  <c r="AB142" i="1"/>
  <c r="AB143" i="1"/>
  <c r="H132" i="1"/>
  <c r="H133" i="1"/>
  <c r="H134" i="1"/>
  <c r="H135" i="1"/>
  <c r="H136" i="1"/>
  <c r="H137" i="1"/>
  <c r="H138" i="1"/>
  <c r="H139" i="1"/>
  <c r="H140" i="1"/>
  <c r="X99" i="1"/>
  <c r="W99" i="1"/>
  <c r="Y99" i="1" s="1"/>
  <c r="X98" i="1"/>
  <c r="W98" i="1"/>
  <c r="X97" i="1"/>
  <c r="W97" i="1"/>
  <c r="Y97" i="1" s="1"/>
  <c r="X96" i="1"/>
  <c r="W96" i="1"/>
  <c r="Y96" i="1" s="1"/>
  <c r="Y116" i="1"/>
  <c r="AE129" i="1"/>
  <c r="AE130" i="1"/>
  <c r="AE131" i="1"/>
  <c r="AE132" i="1"/>
  <c r="AE133" i="1"/>
  <c r="AE134" i="1"/>
  <c r="AE135" i="1"/>
  <c r="AE136" i="1"/>
  <c r="AE137" i="1"/>
  <c r="AB129" i="1"/>
  <c r="AB130" i="1"/>
  <c r="AB131" i="1"/>
  <c r="AB132" i="1"/>
  <c r="AB133" i="1"/>
  <c r="AB134" i="1"/>
  <c r="AB135" i="1"/>
  <c r="AB136" i="1"/>
  <c r="AB137" i="1"/>
  <c r="Y94" i="1"/>
  <c r="Y95" i="1"/>
  <c r="Y100" i="1"/>
  <c r="Y101" i="1"/>
  <c r="Y102" i="1"/>
  <c r="Y103" i="1"/>
  <c r="Y104" i="1"/>
  <c r="Y105" i="1"/>
  <c r="Y106" i="1"/>
  <c r="Y107" i="1"/>
  <c r="Y108" i="1"/>
  <c r="Y109" i="1"/>
  <c r="Y110" i="1"/>
  <c r="Y111" i="1"/>
  <c r="Y112" i="1"/>
  <c r="Y113" i="1"/>
  <c r="Y114" i="1"/>
  <c r="Y115" i="1"/>
  <c r="Y117" i="1"/>
  <c r="Y118" i="1"/>
  <c r="Y119" i="1"/>
  <c r="Y120" i="1"/>
  <c r="Y121" i="1"/>
  <c r="Y122" i="1"/>
  <c r="Y123" i="1"/>
  <c r="Y124" i="1"/>
  <c r="Y125" i="1"/>
  <c r="Y126" i="1"/>
  <c r="Y127" i="1"/>
  <c r="Y128" i="1"/>
  <c r="Y129" i="1"/>
  <c r="Y130" i="1"/>
  <c r="Y131" i="1"/>
  <c r="Y132" i="1"/>
  <c r="Y133" i="1"/>
  <c r="Y134" i="1"/>
  <c r="Y135" i="1"/>
  <c r="Y136" i="1"/>
  <c r="Y137" i="1"/>
  <c r="AE95" i="1"/>
  <c r="AE96" i="1"/>
  <c r="AE97" i="1"/>
  <c r="AE98" i="1"/>
  <c r="AE99" i="1"/>
  <c r="AE100" i="1"/>
  <c r="AE101" i="1"/>
  <c r="AE102" i="1"/>
  <c r="AE103" i="1"/>
  <c r="AE104" i="1"/>
  <c r="AE105" i="1"/>
  <c r="AE106" i="1"/>
  <c r="AE107" i="1"/>
  <c r="AE108" i="1"/>
  <c r="AE109" i="1"/>
  <c r="AE110" i="1"/>
  <c r="AE111" i="1"/>
  <c r="AE112" i="1"/>
  <c r="AE113" i="1"/>
  <c r="AE114" i="1"/>
  <c r="AE115" i="1"/>
  <c r="AE116" i="1"/>
  <c r="AE117" i="1"/>
  <c r="AE118" i="1"/>
  <c r="AE119" i="1"/>
  <c r="AE120" i="1"/>
  <c r="AE121" i="1"/>
  <c r="AE122" i="1"/>
  <c r="AE123" i="1"/>
  <c r="AE124" i="1"/>
  <c r="AE125" i="1"/>
  <c r="AE126" i="1"/>
  <c r="AE127" i="1"/>
  <c r="AE128"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AE50" i="1"/>
  <c r="AE51" i="1"/>
  <c r="AB50" i="1"/>
  <c r="AB51" i="1"/>
  <c r="Y50" i="1"/>
  <c r="Y51" i="1"/>
  <c r="H50" i="1"/>
  <c r="H51" i="1"/>
  <c r="AB89" i="1"/>
  <c r="AB88" i="1"/>
  <c r="Y83" i="1"/>
  <c r="AE91" i="1"/>
  <c r="AE92" i="1"/>
  <c r="AE93" i="1"/>
  <c r="AE94" i="1"/>
  <c r="AE78" i="1"/>
  <c r="AE79" i="1"/>
  <c r="AE80" i="1"/>
  <c r="AE81" i="1"/>
  <c r="AE82" i="1"/>
  <c r="AE83" i="1"/>
  <c r="AE84" i="1"/>
  <c r="AE85" i="1"/>
  <c r="AE86" i="1"/>
  <c r="AE87" i="1"/>
  <c r="AE88" i="1"/>
  <c r="AE89" i="1"/>
  <c r="AE90" i="1"/>
  <c r="AB77" i="1"/>
  <c r="AB78" i="1"/>
  <c r="AB79" i="1"/>
  <c r="AB80" i="1"/>
  <c r="AB81" i="1"/>
  <c r="AB82" i="1"/>
  <c r="AB83" i="1"/>
  <c r="AB84" i="1"/>
  <c r="AB85" i="1"/>
  <c r="AB86" i="1"/>
  <c r="AB87" i="1"/>
  <c r="AB90" i="1"/>
  <c r="AB91" i="1"/>
  <c r="AB92" i="1"/>
  <c r="AB93" i="1"/>
  <c r="AB94" i="1"/>
  <c r="Y78" i="1"/>
  <c r="Y79" i="1"/>
  <c r="Y80" i="1"/>
  <c r="Y81" i="1"/>
  <c r="Y82" i="1"/>
  <c r="Y84" i="1"/>
  <c r="Y85" i="1"/>
  <c r="Y86" i="1"/>
  <c r="Y87" i="1"/>
  <c r="Y88" i="1"/>
  <c r="Y89" i="1"/>
  <c r="Y90" i="1"/>
  <c r="Y91" i="1"/>
  <c r="Y92" i="1"/>
  <c r="Y93" i="1"/>
  <c r="AE40" i="1"/>
  <c r="AE41" i="1"/>
  <c r="AB39" i="1"/>
  <c r="AB40" i="1"/>
  <c r="AB41" i="1"/>
  <c r="Y40" i="1"/>
  <c r="Y41" i="1"/>
  <c r="H76" i="1"/>
  <c r="H77" i="1"/>
  <c r="H78" i="1"/>
  <c r="H79" i="1"/>
  <c r="H80" i="1"/>
  <c r="H81" i="1"/>
  <c r="H82" i="1"/>
  <c r="H83" i="1"/>
  <c r="H84" i="1"/>
  <c r="H85" i="1"/>
  <c r="H86" i="1"/>
  <c r="H87" i="1"/>
  <c r="H88" i="1"/>
  <c r="H89" i="1"/>
  <c r="H90" i="1"/>
  <c r="H91" i="1"/>
  <c r="H92" i="1"/>
  <c r="H93" i="1"/>
  <c r="H94" i="1"/>
  <c r="H40" i="1"/>
  <c r="H18" i="1"/>
  <c r="AB69" i="1"/>
  <c r="AB68" i="1"/>
  <c r="H62" i="1"/>
  <c r="H63" i="1"/>
  <c r="H64" i="1"/>
  <c r="H65" i="1"/>
  <c r="H66" i="1"/>
  <c r="H67" i="1"/>
  <c r="H68" i="1"/>
  <c r="H69" i="1"/>
  <c r="H70" i="1"/>
  <c r="H71" i="1"/>
  <c r="H73" i="1"/>
  <c r="H74" i="1"/>
  <c r="H75" i="1"/>
  <c r="AB58" i="1"/>
  <c r="H59" i="1"/>
  <c r="H60" i="1"/>
  <c r="H61" i="1"/>
  <c r="H48" i="1"/>
  <c r="H49" i="1"/>
  <c r="H52" i="1"/>
  <c r="H53" i="1"/>
  <c r="H54" i="1"/>
  <c r="H55" i="1"/>
  <c r="H56" i="1"/>
  <c r="H57" i="1"/>
  <c r="H58" i="1"/>
  <c r="Y54" i="1"/>
  <c r="H36" i="1"/>
  <c r="H37" i="1"/>
  <c r="H38" i="1"/>
  <c r="H39" i="1"/>
  <c r="H41" i="1"/>
  <c r="H42" i="1"/>
  <c r="H43" i="1"/>
  <c r="H44" i="1"/>
  <c r="H45" i="1"/>
  <c r="H46" i="1"/>
  <c r="H47" i="1"/>
  <c r="AE52" i="1"/>
  <c r="AE53" i="1"/>
  <c r="AE54" i="1"/>
  <c r="AE55" i="1"/>
  <c r="AE56" i="1"/>
  <c r="AE57" i="1"/>
  <c r="AE58" i="1"/>
  <c r="AE59" i="1"/>
  <c r="AE60" i="1"/>
  <c r="AE61" i="1"/>
  <c r="AE62" i="1"/>
  <c r="AE63" i="1"/>
  <c r="AE64" i="1"/>
  <c r="AE65" i="1"/>
  <c r="AE66" i="1"/>
  <c r="AE67" i="1"/>
  <c r="AE68" i="1"/>
  <c r="AE69" i="1"/>
  <c r="AE70" i="1"/>
  <c r="AE71" i="1"/>
  <c r="AE72" i="1"/>
  <c r="AE73" i="1"/>
  <c r="AE74" i="1"/>
  <c r="AE75" i="1"/>
  <c r="AE76" i="1"/>
  <c r="AE77" i="1"/>
  <c r="AB48" i="1"/>
  <c r="AB49" i="1"/>
  <c r="AB52" i="1"/>
  <c r="AB53" i="1"/>
  <c r="AB54" i="1"/>
  <c r="AB55" i="1"/>
  <c r="AB56" i="1"/>
  <c r="AB57" i="1"/>
  <c r="AB59" i="1"/>
  <c r="AB60" i="1"/>
  <c r="AB61" i="1"/>
  <c r="AB62" i="1"/>
  <c r="AB63" i="1"/>
  <c r="AB64" i="1"/>
  <c r="AB65" i="1"/>
  <c r="AB66" i="1"/>
  <c r="AB67" i="1"/>
  <c r="AB70" i="1"/>
  <c r="AB71" i="1"/>
  <c r="AB72" i="1"/>
  <c r="AB73" i="1"/>
  <c r="AB74" i="1"/>
  <c r="AB75" i="1"/>
  <c r="AB76" i="1"/>
  <c r="Y52" i="1"/>
  <c r="Y53" i="1"/>
  <c r="Y55" i="1"/>
  <c r="Y56" i="1"/>
  <c r="Y57" i="1"/>
  <c r="Y58" i="1"/>
  <c r="Y59" i="1"/>
  <c r="Y60" i="1"/>
  <c r="Y61" i="1"/>
  <c r="Y62" i="1"/>
  <c r="Y63" i="1"/>
  <c r="Y64" i="1"/>
  <c r="Y65" i="1"/>
  <c r="Y66" i="1"/>
  <c r="Y67" i="1"/>
  <c r="Y68" i="1"/>
  <c r="Y69" i="1"/>
  <c r="Y70" i="1"/>
  <c r="Y71" i="1"/>
  <c r="Y72" i="1"/>
  <c r="Y73" i="1"/>
  <c r="Y74" i="1"/>
  <c r="Y75" i="1"/>
  <c r="Y76" i="1"/>
  <c r="Y77" i="1"/>
  <c r="AB47" i="1"/>
  <c r="H30" i="1"/>
  <c r="H31" i="1"/>
  <c r="H32" i="1"/>
  <c r="H33" i="1"/>
  <c r="H34" i="1"/>
  <c r="H35" i="1"/>
  <c r="H4" i="1"/>
  <c r="H5" i="1"/>
  <c r="H6" i="1"/>
  <c r="H7" i="1"/>
  <c r="H8" i="1"/>
  <c r="H9" i="1"/>
  <c r="H10" i="1"/>
  <c r="H11" i="1"/>
  <c r="H12" i="1"/>
  <c r="H13" i="1"/>
  <c r="H14" i="1"/>
  <c r="H15" i="1"/>
  <c r="H16" i="1"/>
  <c r="H17" i="1"/>
  <c r="H19" i="1"/>
  <c r="H20" i="1"/>
  <c r="H21" i="1"/>
  <c r="H22" i="1"/>
  <c r="H23" i="1"/>
  <c r="H24" i="1"/>
  <c r="H25" i="1"/>
  <c r="H26" i="1"/>
  <c r="H27" i="1"/>
  <c r="H28" i="1"/>
  <c r="H29" i="1"/>
  <c r="H3" i="1"/>
  <c r="AB25" i="1"/>
  <c r="Y34" i="1"/>
  <c r="Y22" i="1"/>
  <c r="AE32" i="1"/>
  <c r="AE33" i="1"/>
  <c r="AE34" i="1"/>
  <c r="AE35" i="1"/>
  <c r="AE36" i="1"/>
  <c r="AE37" i="1"/>
  <c r="AE38" i="1"/>
  <c r="AE39" i="1"/>
  <c r="AE42" i="1"/>
  <c r="AE43" i="1"/>
  <c r="AE44" i="1"/>
  <c r="AE45" i="1"/>
  <c r="AE46" i="1"/>
  <c r="AE47" i="1"/>
  <c r="AE48" i="1"/>
  <c r="AE49" i="1"/>
  <c r="AB26" i="1"/>
  <c r="AB27" i="1"/>
  <c r="AB28" i="1"/>
  <c r="AB29" i="1"/>
  <c r="AB30" i="1"/>
  <c r="AB31" i="1"/>
  <c r="AB32" i="1"/>
  <c r="AB33" i="1"/>
  <c r="AB34" i="1"/>
  <c r="AB35" i="1"/>
  <c r="AB36" i="1"/>
  <c r="AB37" i="1"/>
  <c r="AB38" i="1"/>
  <c r="AB42" i="1"/>
  <c r="AB43" i="1"/>
  <c r="AB44" i="1"/>
  <c r="AB45" i="1"/>
  <c r="AB46" i="1"/>
  <c r="Y26" i="1"/>
  <c r="Y27" i="1"/>
  <c r="Y28" i="1"/>
  <c r="Y29" i="1"/>
  <c r="Y30" i="1"/>
  <c r="Y31" i="1"/>
  <c r="Y32" i="1"/>
  <c r="Y33" i="1"/>
  <c r="Y35" i="1"/>
  <c r="Y36" i="1"/>
  <c r="Y37" i="1"/>
  <c r="Y38" i="1"/>
  <c r="Y39" i="1"/>
  <c r="Y42" i="1"/>
  <c r="Y43" i="1"/>
  <c r="Y44" i="1"/>
  <c r="Y45" i="1"/>
  <c r="Y46" i="1"/>
  <c r="Y47" i="1"/>
  <c r="Y48" i="1"/>
  <c r="Y49" i="1"/>
  <c r="AE24" i="1"/>
  <c r="AE25" i="1"/>
  <c r="AE26" i="1"/>
  <c r="AE27" i="1"/>
  <c r="AE28" i="1"/>
  <c r="AE29" i="1"/>
  <c r="AE30" i="1"/>
  <c r="AE31" i="1"/>
  <c r="Y24" i="1"/>
  <c r="Y25" i="1"/>
  <c r="Y18" i="1"/>
  <c r="Y19" i="1"/>
  <c r="Y20" i="1"/>
  <c r="Y21" i="1"/>
  <c r="Y23" i="1"/>
  <c r="AE15" i="1"/>
  <c r="AE16" i="1"/>
  <c r="AE17" i="1"/>
  <c r="AE18" i="1"/>
  <c r="AE19" i="1"/>
  <c r="AE20" i="1"/>
  <c r="AE21" i="1"/>
  <c r="AE22" i="1"/>
  <c r="AE23" i="1"/>
  <c r="AB14" i="1"/>
  <c r="AB15" i="1"/>
  <c r="AB16" i="1"/>
  <c r="AB17" i="1"/>
  <c r="AB18" i="1"/>
  <c r="AB19" i="1"/>
  <c r="AB20" i="1"/>
  <c r="AB21" i="1"/>
  <c r="AB22" i="1"/>
  <c r="AB23" i="1"/>
  <c r="AB24" i="1"/>
  <c r="AB12" i="1"/>
  <c r="Y17" i="1"/>
  <c r="Y16" i="1"/>
  <c r="W3" i="1"/>
  <c r="Y3" i="1" s="1"/>
  <c r="Y4" i="1"/>
  <c r="Y5" i="1"/>
  <c r="Y6" i="1"/>
  <c r="Y7" i="1"/>
  <c r="Y8" i="1"/>
  <c r="Y10" i="1"/>
  <c r="Y11" i="1"/>
  <c r="Y12" i="1"/>
  <c r="Y13" i="1"/>
  <c r="Y14" i="1"/>
  <c r="Y15" i="1"/>
  <c r="AE4" i="1"/>
  <c r="AE5" i="1"/>
  <c r="AE6" i="1"/>
  <c r="AE7" i="1"/>
  <c r="AE8" i="1"/>
  <c r="AE9" i="1"/>
  <c r="AE10" i="1"/>
  <c r="AE11" i="1"/>
  <c r="AE12" i="1"/>
  <c r="AE13" i="1"/>
  <c r="AE14" i="1"/>
  <c r="AB4" i="1"/>
  <c r="AB5" i="1"/>
  <c r="AB6" i="1"/>
  <c r="AB7" i="1"/>
  <c r="AB8" i="1"/>
  <c r="AB9" i="1"/>
  <c r="AB10" i="1"/>
  <c r="AB11" i="1"/>
  <c r="AB13" i="1"/>
  <c r="AE3" i="1"/>
  <c r="AB3" i="1"/>
  <c r="Y98" i="1" l="1"/>
  <c r="BC72" i="1"/>
  <c r="BJ5" i="1" s="1"/>
  <c r="I9" i="2"/>
  <c r="I8" i="2"/>
  <c r="G9" i="2"/>
  <c r="G8" i="2"/>
  <c r="BJ6" i="1"/>
  <c r="O7" i="2"/>
  <c r="M7" i="2"/>
  <c r="J2" i="2"/>
  <c r="H2" i="2"/>
  <c r="F2" i="2"/>
  <c r="Q7" i="2" l="1"/>
  <c r="J9" i="2"/>
  <c r="I7" i="2"/>
  <c r="L2" i="2"/>
  <c r="J8" i="2"/>
  <c r="G7" i="2"/>
  <c r="J7" i="2" l="1"/>
</calcChain>
</file>

<file path=xl/sharedStrings.xml><?xml version="1.0" encoding="utf-8"?>
<sst xmlns="http://schemas.openxmlformats.org/spreadsheetml/2006/main" count="10010" uniqueCount="2420">
  <si>
    <t>Subject details</t>
  </si>
  <si>
    <t>OMRON Data</t>
  </si>
  <si>
    <t>Anthropometric Measurements</t>
  </si>
  <si>
    <t>Motion Sensors</t>
  </si>
  <si>
    <t>Pressure Sensor</t>
  </si>
  <si>
    <t>Break Times</t>
  </si>
  <si>
    <t>Data uploaded to nbox</t>
  </si>
  <si>
    <t>Additional Comments</t>
  </si>
  <si>
    <t>Subject</t>
  </si>
  <si>
    <t>Date of visit</t>
  </si>
  <si>
    <t>Seat</t>
  </si>
  <si>
    <t>Chosen Angle</t>
  </si>
  <si>
    <t>Sex</t>
  </si>
  <si>
    <t>Considered Obese (Body Fat)</t>
  </si>
  <si>
    <t>Weight
(kg)</t>
  </si>
  <si>
    <t>Body Fat (%)</t>
  </si>
  <si>
    <t>Visceral Fat</t>
  </si>
  <si>
    <t>Resting Metabolism (kcal)</t>
  </si>
  <si>
    <t>Skeletal Muscle(%)</t>
  </si>
  <si>
    <t>Skeletal Muscle（ARMS）(%)</t>
  </si>
  <si>
    <t>Skeletal Muscle（TRUNK）(%)</t>
  </si>
  <si>
    <t>Skeletal Muscle（LEGS）(%)</t>
  </si>
  <si>
    <t>Subcutaneous fat (%)</t>
  </si>
  <si>
    <t>Subcutaneous fat（ARMS）(%)</t>
  </si>
  <si>
    <t>Subcutaneous fat（TRUNK）(%)</t>
  </si>
  <si>
    <t>Subcutaneous fat（LEGS）(%)</t>
  </si>
  <si>
    <t>BMI</t>
  </si>
  <si>
    <t>Body Age (years old)</t>
  </si>
  <si>
    <t>Hip width 1</t>
  </si>
  <si>
    <t>Hip width 2
(if any)</t>
  </si>
  <si>
    <t>Average Hip width</t>
  </si>
  <si>
    <t>Butt-Knee 1</t>
  </si>
  <si>
    <t>Butt-Knee 2
(if any)</t>
  </si>
  <si>
    <t>Average Butt Knee</t>
  </si>
  <si>
    <t>Popliteal 1</t>
  </si>
  <si>
    <t>Popliteal 2
(if any)</t>
  </si>
  <si>
    <t>Average Popliteal</t>
  </si>
  <si>
    <t>Start of S1</t>
  </si>
  <si>
    <t>End of S1</t>
  </si>
  <si>
    <t>Start of S2</t>
  </si>
  <si>
    <t>End of S2</t>
  </si>
  <si>
    <t>Start of S3</t>
  </si>
  <si>
    <t>End of S3</t>
  </si>
  <si>
    <t xml:space="preserve">Issues/Comments (if any)
</t>
  </si>
  <si>
    <t>Start of recording</t>
  </si>
  <si>
    <t>End of recording</t>
  </si>
  <si>
    <t>Issues/Comments (if any)</t>
  </si>
  <si>
    <t>Break 1 start time</t>
  </si>
  <si>
    <t>Break 1 end time</t>
  </si>
  <si>
    <t>Duration
(min)</t>
  </si>
  <si>
    <t>Break 2 start time</t>
  </si>
  <si>
    <t>Break 2 end time</t>
  </si>
  <si>
    <t>Motion Sensor</t>
  </si>
  <si>
    <t>GCR</t>
  </si>
  <si>
    <t>Pressure</t>
  </si>
  <si>
    <t>Fitbit</t>
  </si>
  <si>
    <t>CCTV</t>
  </si>
  <si>
    <t>Mini Cam</t>
  </si>
  <si>
    <t>Participants movement, App glitches etc.</t>
  </si>
  <si>
    <t>Obesity based on Body Fat % &amp; BMI combined</t>
  </si>
  <si>
    <t>Alignments with CCTV time</t>
  </si>
  <si>
    <t>A001</t>
  </si>
  <si>
    <t>2F</t>
  </si>
  <si>
    <t>Male</t>
  </si>
  <si>
    <t>1.06pm</t>
  </si>
  <si>
    <t>3.07pm</t>
  </si>
  <si>
    <t>3.12pm</t>
  </si>
  <si>
    <t>5.13pm</t>
  </si>
  <si>
    <t>5.19pm</t>
  </si>
  <si>
    <t>7.20pm</t>
  </si>
  <si>
    <t>7.23pm</t>
  </si>
  <si>
    <t>5.14pm</t>
  </si>
  <si>
    <t>5.28pm - Using phone</t>
  </si>
  <si>
    <t xml:space="preserve">CCTV time is in-line with GCR </t>
  </si>
  <si>
    <t>A002</t>
  </si>
  <si>
    <t>3F</t>
  </si>
  <si>
    <t>1.04pm</t>
  </si>
  <si>
    <t>3.10pm</t>
  </si>
  <si>
    <t>3.15pm</t>
  </si>
  <si>
    <t>5.16pm</t>
  </si>
  <si>
    <t>5.21pm</t>
  </si>
  <si>
    <t>7.24pm</t>
  </si>
  <si>
    <t>Tekscan (back) disconnected for 20 - 25 mins after 2nd break</t>
  </si>
  <si>
    <t>A003</t>
  </si>
  <si>
    <t>3D</t>
  </si>
  <si>
    <t>Female</t>
  </si>
  <si>
    <t>12.48pm</t>
  </si>
  <si>
    <t>2.57pm</t>
  </si>
  <si>
    <t>3.05pm</t>
  </si>
  <si>
    <t>5.07pm</t>
  </si>
  <si>
    <t>7.14pm</t>
  </si>
  <si>
    <t>12.51pm</t>
  </si>
  <si>
    <t xml:space="preserve">Tekscan closed on its own during session 1.
Tekscan missing data: 12.51pm - 3.05pm (Laptop Crashed for Restart) &amp; 4.53pm - 4.55pm (USB wires weak). </t>
  </si>
  <si>
    <t>2.58pm</t>
  </si>
  <si>
    <t>3.04pm</t>
  </si>
  <si>
    <t>5.12pm</t>
  </si>
  <si>
    <t>GCR Notification popped up 10 minutes. 
Cabin Sound Disconnected on its own. 
Participant Lean to choose Netflix at 5.29pm</t>
  </si>
  <si>
    <t>A004</t>
  </si>
  <si>
    <t>3.18pm</t>
  </si>
  <si>
    <t>5.18pm</t>
  </si>
  <si>
    <t>5.24pm</t>
  </si>
  <si>
    <t>7.25pm</t>
  </si>
  <si>
    <t>1.09pm</t>
  </si>
  <si>
    <t>3.17pm</t>
  </si>
  <si>
    <t>1.40pm - 1.41pm: Using Phone. 
2.12pm - 2.13pm: Large movement (drinking water). 
First 20 minutes of Session 2: Using Phone. 
3.39pm - 3.48pm: Still consuming food</t>
  </si>
  <si>
    <t>CCTV time is 1-2 second early; CCTV time: 15:12:09 GCR filled at 15:12:11</t>
  </si>
  <si>
    <t>A005</t>
  </si>
  <si>
    <t>1.02pm</t>
  </si>
  <si>
    <t>3.03pm</t>
  </si>
  <si>
    <t>3.09pm</t>
  </si>
  <si>
    <t>5.09pm</t>
  </si>
  <si>
    <t>5.17pm</t>
  </si>
  <si>
    <t xml:space="preserve"> 2.23pm - 2.24pm: Adjust Pressure Mat Position</t>
  </si>
  <si>
    <t>5.11pm</t>
  </si>
  <si>
    <t>1.23pm - 1.24pm: Lean Forward to touch Screen.</t>
  </si>
  <si>
    <t>CCTV time is 1-2 second early; CCTV time: 15:03:56 GCR filled at 15:03:57</t>
  </si>
  <si>
    <t>A006</t>
  </si>
  <si>
    <t>2D</t>
  </si>
  <si>
    <t>z</t>
  </si>
  <si>
    <t>1.00pm</t>
  </si>
  <si>
    <t>3.08pm</t>
  </si>
  <si>
    <t>5.15pm</t>
  </si>
  <si>
    <t>7.17pm</t>
  </si>
  <si>
    <t>1.43pm: Restart Metamotion (2D-R missing 5000 points)
1.43pm - 3.02pm: Missing Metamotion 2D-R (15,000 points). But sits in closed-leg position most of the time
3.13pm - 3.30pm: 2D-R Missing
Metamotion 2D-R down for S3</t>
  </si>
  <si>
    <t>1.01pm</t>
  </si>
  <si>
    <t>GOPRO footage, first 4hr uploaded to nbox already 
1.23pm - 1.24pm: Shift to talk to researcher
1.33pm: Shift to talk to researcher
2.43pm - 2.44pm: Stood up
3.38pm: Leg Stretching
4.03pm: Turn for Snacks</t>
  </si>
  <si>
    <t>CCTV time is 1-2 second early; CCTV time: 17:09:22 GCR filled at 17:09:24</t>
  </si>
  <si>
    <t>A007</t>
  </si>
  <si>
    <t>12.41pm</t>
  </si>
  <si>
    <t>2.43pm</t>
  </si>
  <si>
    <t>2.47pm</t>
  </si>
  <si>
    <t>4.48pm</t>
  </si>
  <si>
    <t>4.54pm</t>
  </si>
  <si>
    <t>6.54pm</t>
  </si>
  <si>
    <t>12.42pm</t>
  </si>
  <si>
    <t>6.55pm</t>
  </si>
  <si>
    <t>4.12pm: Adjust pressure mat</t>
  </si>
  <si>
    <t>2.48pm</t>
  </si>
  <si>
    <t>4.49pm</t>
  </si>
  <si>
    <t>CCTV time is 1-2 second early; CCTV time: 14:42:39 GCR filled at 14:42:40</t>
  </si>
  <si>
    <t>A008</t>
  </si>
  <si>
    <t>1.20pm</t>
  </si>
  <si>
    <t>3.21pm</t>
  </si>
  <si>
    <t>3.26pm</t>
  </si>
  <si>
    <t>5.27pm</t>
  </si>
  <si>
    <t>5.32pm</t>
  </si>
  <si>
    <t>7.33pm</t>
  </si>
  <si>
    <t>GCR App Notifications Every 10 minutes
7.20pm - 7.26pm: Cabin Sound Disconnected</t>
  </si>
  <si>
    <t>A009</t>
  </si>
  <si>
    <t>1.30pm</t>
  </si>
  <si>
    <t>3.38pm</t>
  </si>
  <si>
    <t>3.44pm</t>
  </si>
  <si>
    <t>5.44pm</t>
  </si>
  <si>
    <t>5.50pm</t>
  </si>
  <si>
    <t>7.51pm</t>
  </si>
  <si>
    <t>1.37pm</t>
  </si>
  <si>
    <t>1.17pm - 1.21pm: Tekscan got disconnected initially for 3-4 mins
2.30pm - 2.33pm: Tekscan disconnected
3.28pm - 3.29pm: Tekscan disconnected</t>
  </si>
  <si>
    <t>5.45pm</t>
  </si>
  <si>
    <t>GCR: 1.39pm, 1.49pm, 1.59pm, 2.00pm, 2.19pm (GCR popped up every 10 mins)
5.12pm: Readjusted mini cam angle 
7.20pm - 7.26pm: Cabin sound disconnected</t>
  </si>
  <si>
    <t>A010</t>
  </si>
  <si>
    <t>3.22pm</t>
  </si>
  <si>
    <t>3.28pm</t>
  </si>
  <si>
    <t>5.29pm</t>
  </si>
  <si>
    <t>5.35pm</t>
  </si>
  <si>
    <t>7.36pm</t>
  </si>
  <si>
    <t>5.09pm: Adjust Pressure Mat (Back). Frames 13600
6.15pm: Adjust Presssure Mat (Back). Frames 17480</t>
  </si>
  <si>
    <t>5.30pm</t>
  </si>
  <si>
    <t xml:space="preserve">2.01pm - 2.16pm: Holding on to keyboard
Movements (Lean Forward) whenver notification rings
GCR App Notifications Dupicate - Disabled Notifications
4.42pm - 4.47pm: Cabin Sound Disconnected
</t>
  </si>
  <si>
    <t>CCTV time is 1 second early; CCTV time: 15:22:02 GCR filled at 15:22:03</t>
  </si>
  <si>
    <t>A011</t>
  </si>
  <si>
    <t>12.22pm</t>
  </si>
  <si>
    <t>2.24pm</t>
  </si>
  <si>
    <t>2.28pm</t>
  </si>
  <si>
    <t>4.29pm</t>
  </si>
  <si>
    <t>4.34pm</t>
  </si>
  <si>
    <t>6.34pm</t>
  </si>
  <si>
    <t>1.14pm: Motion Sensor Loss 10000 points. Saved &amp; Reset Motion Sensor
4.08pm - 4.28pm: 3D_R Motion Sensor not captured
5.21pm - 5.22pm: Restarted Motion Sensor</t>
  </si>
  <si>
    <t>3.09pm: Adjust Pressure Mat. Frames 9850 - 9950
5.21pm - 5.22pm: Adjust Presssure Mat</t>
  </si>
  <si>
    <t>2.23pm</t>
  </si>
  <si>
    <t>3.29pm - 3.30pm: Went to Toilet. Frames 11115
4.42pm - 4.47pm: Cabin Sound Disconnected
5.19pm - 5.21pm: Went to Toilet</t>
  </si>
  <si>
    <t>CCTV time is 1 second early; CCTV time: 14:22:57 GCR filled at 14:22:58</t>
  </si>
  <si>
    <t>A012</t>
  </si>
  <si>
    <t>1.07pm</t>
  </si>
  <si>
    <t>5.22pm</t>
  </si>
  <si>
    <t>3.58pm: Adjust Pressure Mat (Back) Frame 10100
4.21pm: Adjust Pressure Mat (Back) Frame 11500
6.23pm: Adjust Pressure Mat (Back) Frame 18750</t>
  </si>
  <si>
    <t>1.30pm - 1.31pm: Movements due to researcher (pts missed the rating)
4.42pm - 4.47pm: Cabin Sound Disconnected
7.11pm: Drinking Water</t>
  </si>
  <si>
    <t>CCTV time is 1 second early; CCTV time: 17:16:59 GCR filled at 17:17:00</t>
  </si>
  <si>
    <t>A013</t>
  </si>
  <si>
    <t>12.24pm</t>
  </si>
  <si>
    <t>2.32pm</t>
  </si>
  <si>
    <t>2.37pm</t>
  </si>
  <si>
    <t>4.37pm</t>
  </si>
  <si>
    <t>4.43pm</t>
  </si>
  <si>
    <t>6.44pm</t>
  </si>
  <si>
    <t>6.45pm</t>
  </si>
  <si>
    <t>6.05pm: Adjust Pressure Mat (Back) Frame 20200~</t>
  </si>
  <si>
    <t>2.31pm</t>
  </si>
  <si>
    <t>2.36pm</t>
  </si>
  <si>
    <t>4.38pm</t>
  </si>
  <si>
    <t>A014</t>
  </si>
  <si>
    <t>12.53pm</t>
  </si>
  <si>
    <t>2.54pm</t>
  </si>
  <si>
    <t>3.01pm</t>
  </si>
  <si>
    <t>5.02pm</t>
  </si>
  <si>
    <t>7.08pm</t>
  </si>
  <si>
    <t>1.55pm - 1.57pm: 3D_L Disconnected
4.41pm: Motion Sensor Disconnected</t>
  </si>
  <si>
    <t>12.52pm</t>
  </si>
  <si>
    <t>1.58pm: Turn to call Researcher
2.02pm - 2.05pm: Earpiece Disconnected. Change Earpiee
2.59pm: Participant removed Fitbit to wash hands
3.01pm: Participant Snacking
6.08pm: Turn to talk to Researcher
6.33pm - 6.35pm: Went Toilet (Frame 22250)</t>
  </si>
  <si>
    <t>A015</t>
  </si>
  <si>
    <t>1.11pm</t>
  </si>
  <si>
    <t>7.26pm</t>
  </si>
  <si>
    <t>3.13pm</t>
  </si>
  <si>
    <t>A0SQ</t>
  </si>
  <si>
    <t>12.35pm</t>
  </si>
  <si>
    <t>4.45pm</t>
  </si>
  <si>
    <t>4.50pm</t>
  </si>
  <si>
    <t>6.51pm</t>
  </si>
  <si>
    <t>3.46pm: Motion Sensor right not recording &gt; Restarted at 3.47pm
5.30pm - 5.34pm: Motion Sensor Lost Connection
6.04pm - 6.05pm: Restart Motion Sensor (3F_R Connection Issue - remember to reboot)</t>
  </si>
  <si>
    <t>5.04pm - 5.06pm: Participant stood up, got out of seat</t>
  </si>
  <si>
    <t>A016</t>
  </si>
  <si>
    <t>12.37pm</t>
  </si>
  <si>
    <t>2.42pm</t>
  </si>
  <si>
    <t>2.49pm</t>
  </si>
  <si>
    <t>4.55pm</t>
  </si>
  <si>
    <t>6.56pm</t>
  </si>
  <si>
    <t>6.57pm</t>
  </si>
  <si>
    <t>2.23pm - 2.26pm: Toilet</t>
  </si>
  <si>
    <t>A017</t>
  </si>
  <si>
    <t>3.06pm</t>
  </si>
  <si>
    <t>7.19pm</t>
  </si>
  <si>
    <t xml:space="preserve">Motion Sensors missing data ~ 22800 points only. 3.02pm Restarted.
Motion Sensors missing data. 2D_L Restarted at 4.32pm
</t>
  </si>
  <si>
    <t>Frame 114: Start of Study</t>
  </si>
  <si>
    <t>3.11pm</t>
  </si>
  <si>
    <t>1.48pm - 1.53pm: WIFI Disconnected
6.43pm: GCR did not record for 6.38pm. Participant told to fill in GCR again</t>
  </si>
  <si>
    <t>CCTV time is 4 second early; CCTV time: 15:06:07 GCR filled at 15:06:11</t>
  </si>
  <si>
    <t>A018</t>
  </si>
  <si>
    <t>5.25pm</t>
  </si>
  <si>
    <t>7.27pm</t>
  </si>
  <si>
    <t>Frame 220: Start of Study</t>
  </si>
  <si>
    <t>5.20pm</t>
  </si>
  <si>
    <t>CCTV time is 4 second early; CCTV time: 17:19:37 GCR filled at 17:19:41</t>
  </si>
  <si>
    <t>A019</t>
  </si>
  <si>
    <t>5.10pm</t>
  </si>
  <si>
    <t>2.22pm: 3D_R Disconnected
3.48pm: 3D_R Disconnected
4.10pm 3D_R Disconnected</t>
  </si>
  <si>
    <t>Tekscan stopped at Frame 2995 1.52pm. Restarted at 2.27pm
6.06pm: Adjust Pressure Mat (Back) Frame 13000
Tekscan stopped at Frame 15253. 6.49pm. Restarted at 6.53pm
6.57pm: Adjust Pressure Mat (Both) Frame 300</t>
  </si>
  <si>
    <t>1.22pm: Movement to fill in GCR
1.24pm: Movement to ask question
2.48pm: Movement to ask question</t>
  </si>
  <si>
    <t>CCTV time is 4 second early; CCTV time: 17:10:36 GCR filled at 17:10:40</t>
  </si>
  <si>
    <t>A020</t>
  </si>
  <si>
    <t>12.17pm</t>
  </si>
  <si>
    <t>2.18pm</t>
  </si>
  <si>
    <t>4.24pm</t>
  </si>
  <si>
    <t>6.30pm</t>
  </si>
  <si>
    <t>1.37pm: 3F_R Disconnected
1.57pm: 3F_R Disconnected
3.24pm: 3F_R Disconnected
3.43pm - 3.47pm: 3F_R Disconnected
4.03pm: 3F_R Disconnected. Lost 2000 points
4.11pm: 3F_R Disconnected</t>
  </si>
  <si>
    <t>3.52pm; Adjust Pressure Mat Frame 12800. Participant was stretching</t>
  </si>
  <si>
    <t>2.32pm: Turn to talk to Researcher</t>
  </si>
  <si>
    <t>CCTV time is 3 second early; CCTV time: 14:17:52 GCR filled at 14:17:55</t>
  </si>
  <si>
    <t>A021</t>
  </si>
  <si>
    <t>12.54pm</t>
  </si>
  <si>
    <t>3.00pm</t>
  </si>
  <si>
    <t>5.01pm</t>
  </si>
  <si>
    <t>5.06pm</t>
  </si>
  <si>
    <t>7.07pm</t>
  </si>
  <si>
    <t>3.17pm - 3.19pm: Excessive Movements (Talking, Eating, etc)
5.27pm: Subject Using Phone
6.29pm - 6.31pm: Went Toilet (Frame 19950)
6.33pm: Gave Subject Paracetamol for Headache)
6.36pm: Subject Using Phone</t>
  </si>
  <si>
    <t>A022</t>
  </si>
  <si>
    <t>12.57pm</t>
  </si>
  <si>
    <t>1.05pm: 2D_R Stopped (up to 190 points)
5.15pm - 5.28pm: 2D_R Missing Data</t>
  </si>
  <si>
    <t>1.08pm: Check Tekscan (Back) Frame 650~</t>
  </si>
  <si>
    <t>1.59pm - 2.01pm: Movements due to researcher
2.04pm - 2.05pm: Movements due to researcher
3.10pm - 3.11pm: Movements due to researcher (eating)
3.17pm - 3.19pm: Movements due to researcher (talking / turning)
3,37pm - 3.38pm: Movements due to researcher (leaning forward for the screen)</t>
  </si>
  <si>
    <t>A023</t>
  </si>
  <si>
    <t>1.28pm</t>
  </si>
  <si>
    <t>3.33pm</t>
  </si>
  <si>
    <t>5.37pm</t>
  </si>
  <si>
    <t>7.38pm</t>
  </si>
  <si>
    <t>5.24pm - 5.37pm: Tekscan (Back) Slipped down. Lost Connection</t>
  </si>
  <si>
    <t>3.35pm - 3.37pm: Touching Screeen (but does not lean forward)
Mentioned that Subject could not lean towards right. Hence more weight on LHS, Higher Discomfort Scores.
In general, Subject experienced moderate discomfort</t>
  </si>
  <si>
    <t>A024</t>
  </si>
  <si>
    <t>1.29pm</t>
  </si>
  <si>
    <t>3.30pm</t>
  </si>
  <si>
    <t>3.36pm</t>
  </si>
  <si>
    <t>5.43pm</t>
  </si>
  <si>
    <t>7.44pm</t>
  </si>
  <si>
    <t>4.56pm: 2D_R Disconnected. Loss 13000 Points</t>
  </si>
  <si>
    <t>3.31pm</t>
  </si>
  <si>
    <t>A025</t>
  </si>
  <si>
    <t>5.00pm</t>
  </si>
  <si>
    <t>7.00pm</t>
  </si>
  <si>
    <t>A026</t>
  </si>
  <si>
    <t>12.08pm</t>
  </si>
  <si>
    <t>2.09pm</t>
  </si>
  <si>
    <t>2.16pm</t>
  </si>
  <si>
    <t>4.16pm</t>
  </si>
  <si>
    <t>4.21pm</t>
  </si>
  <si>
    <t>6.21pm</t>
  </si>
  <si>
    <t>2.16pm - 2.41pm: Motion Sensor Data not saved
2.41pm: Motion Sensor Disconnected. Restarted.
4.42pm: Motion Sensor Stopped. Data Not Saved
6.01pm: 3D_R Disconnected. Lost 7000 points</t>
  </si>
  <si>
    <t>12.56pm: Adjust Pressure Mat (Back) Frame 2837
2.15pm - 2.16pm: 45 seconds Tekscan Missing (right after Break)
3.17pm: Adjust Pressure Mat (Back) Frame 3615
3.57pm: Adjust Pressure Mat (Back) Frame 5990
5.02pm: 60 seconds Tekscan Missing
6.07pm: Adjust Pressure Mat (Both) Frame 3800</t>
  </si>
  <si>
    <t>2.14pm</t>
  </si>
  <si>
    <t>A027</t>
  </si>
  <si>
    <t>3.16pm</t>
  </si>
  <si>
    <t>5.23pm</t>
  </si>
  <si>
    <t>2.30pm: 2D_R Stopped
2.47pm - 2.48pm: 2D_R Stopped
3.09pm: 2D_R Stopped
3.37pm: 2D_R Stopped (Lost 12500 Points)
4.57pm: 2D_R Stopped
5.43pm: 2D_R Stopped</t>
  </si>
  <si>
    <t>5.24pm: Using Phone
5:45:30 - 5:47:15: Using Phone
GCR App Notification Duplicate. Disable Notifications</t>
  </si>
  <si>
    <t>A028</t>
  </si>
  <si>
    <t>5.04pm</t>
  </si>
  <si>
    <t>7.10pm</t>
  </si>
  <si>
    <t>GCR 9th Rating filled 3 mins early (Notifications Duplicate)
Disable GCR Notifications</t>
  </si>
  <si>
    <t>A029</t>
  </si>
  <si>
    <t>12.38pm</t>
  </si>
  <si>
    <t>2.41pm</t>
  </si>
  <si>
    <t>2.46pm</t>
  </si>
  <si>
    <t>4.26pm: 3D_L Stopped</t>
  </si>
  <si>
    <t>1.02pm - 1.03pm: Restarted Tekscan
Tekscan Disconnected during 2nd Toilet Break. No Data Missed
5.34pm - 5.35pm: Restarted Tekscan</t>
  </si>
  <si>
    <t>4.53pm</t>
  </si>
  <si>
    <t>Tekscan has been delayed by 1 min 37 seconds</t>
  </si>
  <si>
    <t>A030</t>
  </si>
  <si>
    <t>2.26pm</t>
  </si>
  <si>
    <t>2.33pm</t>
  </si>
  <si>
    <t>4.40pm</t>
  </si>
  <si>
    <t>12.30pm</t>
  </si>
  <si>
    <t>3.32pm: Adjust Pressure Mat (Seat) Frame 10750</t>
  </si>
  <si>
    <t>2.34pm - 3.00pm: GoPro Not Recording
Tekscan has been delayed by 4 mins 42 seconds</t>
  </si>
  <si>
    <t>A031</t>
  </si>
  <si>
    <t>12.45pm</t>
  </si>
  <si>
    <t>2.51pm</t>
  </si>
  <si>
    <t>4.52pm</t>
  </si>
  <si>
    <t>4.58pm</t>
  </si>
  <si>
    <t>4.57pm</t>
  </si>
  <si>
    <t>CCTV time is 1 second early; CCTV time: 14:46:35 GCR filled at 14:46:36</t>
  </si>
  <si>
    <t>A032</t>
  </si>
  <si>
    <t>4.44pm</t>
  </si>
  <si>
    <t>3D_R Stopped (missing about 8000 points in S2
1602: 3D_L Stopped</t>
  </si>
  <si>
    <t>12.31pm</t>
  </si>
  <si>
    <t xml:space="preserve">12.36pm: Using Phone
1310: Leans forward to touch screen (while filling in ratings)
13:12:00 - 13:12:15 - Turns to put remote
1332 - 1335: Toilet (Frame 3790)
Frame 6530 - 6575: Turn Left to pick up bottle and tissue
1438 - 14:39:30 - Use Phone (Right after 1st break)
1519 - 1522: Toilet
1824: Sneezing / Coughing for 1 min approx. </t>
  </si>
  <si>
    <t>CCTV time is 1 second early; CCTV time: 16:38:44 GCR filled at 16:38:45</t>
  </si>
  <si>
    <t>A033</t>
  </si>
  <si>
    <t>12.40pm</t>
  </si>
  <si>
    <t>1.01pm: Motion Sensors Disconnected (5000 points lost)
3.28pm: Motion Sensors Disconnected
4.28pm: 2D_R Disconnected
5.54pm: 2D_R Disconnected
6.14pm: Motion Sensor App Crash
6.19pm: 2D_R Disconnected
6.34pm: 2D_R Disconnected</t>
  </si>
  <si>
    <t>A034</t>
  </si>
  <si>
    <t>12.49pm</t>
  </si>
  <si>
    <t>2.56pm</t>
  </si>
  <si>
    <t>7.02pm</t>
  </si>
  <si>
    <t>7.03pm</t>
  </si>
  <si>
    <t>Disable GCR App Notifications, missing minicam footage (unable to find from 2F sd card)</t>
  </si>
  <si>
    <t>A035</t>
  </si>
  <si>
    <t>2.52pm</t>
  </si>
  <si>
    <t>1.31pm: 3D_L Disconnected
5.22pm: 3D_L Disconnected
6.02pm: Motion Sensors Disconnected
6.22pm: Motion Sensors Disconnected
7.02pm: 3D_L Disconnected</t>
  </si>
  <si>
    <t>7.04pm</t>
  </si>
  <si>
    <t>4:07:30pm - 4.08pm: Moved to grab item from bag
4.51pm: Subject Fidgeting with Pen (Pen Clicking)
5.45pm: CCTV Recording Restarted
6.42pm: Subject Open Seat Table</t>
  </si>
  <si>
    <t>A036</t>
  </si>
  <si>
    <t>2.29pm</t>
  </si>
  <si>
    <t>2.35pm</t>
  </si>
  <si>
    <t>4.35pm</t>
  </si>
  <si>
    <t>4.42pm</t>
  </si>
  <si>
    <t>6.43pm</t>
  </si>
  <si>
    <t>12.28pm - 12.31pm: Motion Sensor App Crash. Data Loss
3.36pm: Motion Sensors Disconnected
5.23pm: 3F_L Disconnected
6.42pm: 3F_L Disconnected</t>
  </si>
  <si>
    <t>12.27pm</t>
  </si>
  <si>
    <t>4.36pm</t>
  </si>
  <si>
    <t>5.45pm: CCTV Recording Restarted
5.55pm: Disable GCR App Notifications</t>
  </si>
  <si>
    <t>A037</t>
  </si>
  <si>
    <t>1.30pm: 2D_R Disconnected
1.50pm: 2D_L  Disconnected
4.17pm: Both Disconnected
5.24pm: Both Disconnected
6.02pm: 2D_R Disconnected
6.23pm: 2D_R Disconnected
6.42pm: Both Disconnected</t>
  </si>
  <si>
    <t>2.50pm</t>
  </si>
  <si>
    <t>2.55pm</t>
  </si>
  <si>
    <t>Extra Entry at 5.17pm - Disable App Notification
6:23:30 =&gt; Lean Forward to talk to researcher
6:43:30 =&gt; Movements to talk to researcher</t>
  </si>
  <si>
    <t>A038</t>
  </si>
  <si>
    <t>12.46pm</t>
  </si>
  <si>
    <t>4.51pm</t>
  </si>
  <si>
    <t>4.56pm</t>
  </si>
  <si>
    <t>Gyroscope set to 500
2.26pm: 2F_L Disconnected</t>
  </si>
  <si>
    <t xml:space="preserve">12.52pm: Turn to talk to Researcher
2nd GCR filled 6 mins late
2.28pm - 2.31pm: Subject Went to Toilet
</t>
  </si>
  <si>
    <t>CCTV time is 4 seconds early; CCTV time: 14:47:14 GCR filled at 14:47:18</t>
  </si>
  <si>
    <t>A039</t>
  </si>
  <si>
    <t>2.30pm</t>
  </si>
  <si>
    <t>4.30pm</t>
  </si>
  <si>
    <t>6.37pm</t>
  </si>
  <si>
    <t>1.02pm: Motion Sensors Disconnected
2.02pm: Motion Sensors Disconnected
2.21pm: 3D_R Stopped
3.10pm: 3D_L Stopped
3.30pm: 3D_R Stopped
3.50pm: 3D_R Stopped
4.10pm Motion Sensors Stopped
6.16pm: Motion Sensors Stopped
6.36pm: 3D_L Stopped</t>
  </si>
  <si>
    <t>6.38pm</t>
  </si>
  <si>
    <t>4.31pm</t>
  </si>
  <si>
    <t>CCTV time is 4 seconds early; CCTV time: 14:24:33 GCR filled at 14:24:37</t>
  </si>
  <si>
    <t>A040</t>
  </si>
  <si>
    <t>12.20pm</t>
  </si>
  <si>
    <t>2.19pm</t>
  </si>
  <si>
    <t>2.27pm</t>
  </si>
  <si>
    <t>4.25pm</t>
  </si>
  <si>
    <t>6.32pm</t>
  </si>
  <si>
    <t>4.05pm: 3F_R Disconnected</t>
  </si>
  <si>
    <t>12.19pm</t>
  </si>
  <si>
    <t>2.20pm</t>
  </si>
  <si>
    <t>2.25pm</t>
  </si>
  <si>
    <t>4.26pm</t>
  </si>
  <si>
    <t>12:19:50 - 12:21:10 =&gt; Movements to talk to researcher
12:41:00 - 21:41:10 =&gt; Leaned Right to pick up phone
12:59:30 - 12:59:45 =&gt; Movements to talk to researcher
1:00:30 - 1:00:50 =&gt; Movements to talk to researcher
3.30pm - Subject Turned body (Phone Call)</t>
  </si>
  <si>
    <t>CCTV time is 4 seconds early; CCTV time: 16:26:03 GCR filled at 16:26:07</t>
  </si>
  <si>
    <t>A041</t>
  </si>
  <si>
    <t>12.25pm</t>
  </si>
  <si>
    <t>6.36pm</t>
  </si>
  <si>
    <t>1.25pm: 2D_R Disconnected
5.55pm: 2D_R Disconnected
6.35pm: 2D_R Disconnected</t>
  </si>
  <si>
    <t>2:06:25 - 2:12:40 =&gt; Toilet Break</t>
  </si>
  <si>
    <t>A042</t>
  </si>
  <si>
    <t>12.32pm</t>
  </si>
  <si>
    <t>2.38pm</t>
  </si>
  <si>
    <t>4.39pm</t>
  </si>
  <si>
    <t>4.17pm: 2F_L Disconneceted</t>
  </si>
  <si>
    <t>A043</t>
  </si>
  <si>
    <t>1.09pm: 3D_L Disconnected
2.29pm: 3D_R Disconnected
3.18pm: 3D_L Disconnected
4.17pm: Both Disconnected
4.37pm: Both Disconnected
5.42pm: 3D_R Disconnected
6.02pm: 3D_R Disconnected
6.22pm: Both Disconnected
7.02pm: 3D_R Disconnected</t>
  </si>
  <si>
    <t>1.42pm: Restart Tekscan
2.59pm: Restart Tekscan</t>
  </si>
  <si>
    <t>2.29pm: GCR Rating did not go through. Submitted at 2.37pm
Disable GCR Notifications
3.57pm: Subject Lean Forward to touch screen</t>
  </si>
  <si>
    <t>A044</t>
  </si>
  <si>
    <t>7.02pm: 3F_R Disconnected</t>
  </si>
  <si>
    <t>6th GCR filled 6 mins late (WIFI Problem)
3:55:00 - 3:56:30 =&gt; Using Phone
6.24:30 - 6.28pm =&gt; Eating KitKat</t>
  </si>
  <si>
    <t>A045</t>
  </si>
  <si>
    <t>2.34pm</t>
  </si>
  <si>
    <t>2.39pm</t>
  </si>
  <si>
    <t>6.46pm</t>
  </si>
  <si>
    <t>2.00pm: 2D_R Disconnected</t>
  </si>
  <si>
    <t>1.50pm: Subject talking to A046 for a few seconds
1.58pm: Subject stood up for 1 second
2.06pm - 2.08pm: CCTV Recording 2 min lost
2:20:20 - 2:21:20 = Movements to take something out of bag
5.57pm - 5.58pm: Subject reach forward to touch screen</t>
  </si>
  <si>
    <t>A046</t>
  </si>
  <si>
    <t>6.53pm</t>
  </si>
  <si>
    <t>12.39pm</t>
  </si>
  <si>
    <t>12.51pm: Subject Touch Screen (Change Subtitles)
1.20pm: Movements to talk to researcher
1.50pm: Subject talking to A045 for a few seconds
2.06pm - 2.08pm: CCTV Recording 2 mins lost
Subject mentioned that he "just" rated as "2" when he felt slight discomfort =&gt; To review along with pressure changes</t>
  </si>
  <si>
    <t>A047</t>
  </si>
  <si>
    <t>12.50pm</t>
  </si>
  <si>
    <t>5.03pm</t>
  </si>
  <si>
    <t>6.32pm-6.33.40pm: Went toilet (stopped motion)</t>
  </si>
  <si>
    <t>1.30pm: Took eyedrop out of the bag
6.10pm: Participant stretches and puts all her weight on seat mat (00:15 on CCTV) 
6.32.00-6.33.40pm (up to Tekscan Frame 20377): Went to toilet</t>
  </si>
  <si>
    <t>CCTV time off; CCTV time: 20:56:32, GCR filled: 14:51:53; Difference: 17H 55m 21s</t>
  </si>
  <si>
    <t>A048</t>
  </si>
  <si>
    <t>12.23pm</t>
  </si>
  <si>
    <t>[CCTV 21:43:43 - ICM]</t>
  </si>
  <si>
    <t>CCTV time off; CCTV time: 20:28:02, GCR filled: 14:23:24; Difference: 17H 55m 22s; 00:39:10 [CCTV]: end of study -&gt; 6.34PM; 4:29:27PM == 22:34:03</t>
  </si>
  <si>
    <t>A049</t>
  </si>
  <si>
    <t>5.21pm: 2D_L Stopped</t>
  </si>
  <si>
    <t>2.49pm: Movements before break
3.54pm: Fell Asleep
4.01pm - 4.02pm: Movements to take bag
4.47pm: Turn to pick up phone</t>
  </si>
  <si>
    <t>CCTV time is 189 seconds early; CCTV time: 16:52:07 GCR filled at 16:55:16</t>
  </si>
  <si>
    <t>A048-A064 CCTV record timing off</t>
  </si>
  <si>
    <t>A050</t>
  </si>
  <si>
    <t>2.53pm</t>
  </si>
  <si>
    <t>7.01pm</t>
  </si>
  <si>
    <t>12.47pm</t>
  </si>
  <si>
    <t>5.00pm - 5.01pm: Using Phone</t>
  </si>
  <si>
    <t>CCTV time is 187 seconds early; CCTV time: 16:50:57 GCR filled at 16:54:04</t>
  </si>
  <si>
    <t>A051</t>
  </si>
  <si>
    <t>6.39pm: Both Disconnected</t>
  </si>
  <si>
    <t>2:36:20pm &amp; 2:46:00pm &amp; 4:50:30pm &amp; 6:26:10pm: Pushed the seat back, slight change in seat angle</t>
  </si>
  <si>
    <t>CCTV time is 189 seconds early; CCTV time: 15:05:01 GCR filled at 15:08:10</t>
  </si>
  <si>
    <t>A052</t>
  </si>
  <si>
    <t>1.14pm</t>
  </si>
  <si>
    <t>3.20pm</t>
  </si>
  <si>
    <t>5.28pm</t>
  </si>
  <si>
    <t>7.29pm</t>
  </si>
  <si>
    <t>4.41pm: 3F_R Disconnected
5.21pm: 3F_R Disconnected
5.41pm: 3F_R Disconnected</t>
  </si>
  <si>
    <t>1.13pm</t>
  </si>
  <si>
    <t>7.30pm</t>
  </si>
  <si>
    <t>6.59pm: Tekscan Disconnected</t>
  </si>
  <si>
    <t>3.14pm: Turn to talk to Researcher
3.40pm - 3.42pm: Movements to talk to Researcher
Subject had quite a bit of movement due to sitting discomfort "Seats wearn't comfortable"</t>
  </si>
  <si>
    <t>CCTV time is 189 seconds early; CCTV time: 17:18:39 GCR filled at 17:21:48</t>
  </si>
  <si>
    <t>A053</t>
  </si>
  <si>
    <t>2.44pm</t>
  </si>
  <si>
    <t>2.19pm: 2D_R Disconnected
3.24pm: 2D_R Disconnected
4.04pm: 2D_R Disconnected</t>
  </si>
  <si>
    <t>Seat angle might have increased by 2-3 degrees (30) by the end of study</t>
  </si>
  <si>
    <t>CCTV time off; CCTV time: 01:46:16, GCR filled: 16:44:47; Difference: 14h 58m 31s; 21:40 on video -&gt; around 12.37pm</t>
  </si>
  <si>
    <t>A054</t>
  </si>
  <si>
    <t>7.09pm</t>
  </si>
  <si>
    <t>1.02pm: Adjust Face Camera</t>
  </si>
  <si>
    <t>CCTV time off; CCTV time: 02:03:21, GCR filled: 17:01:55; Difference: 14h 58m 34s</t>
  </si>
  <si>
    <t>A055</t>
  </si>
  <si>
    <t>6.59pm</t>
  </si>
  <si>
    <t>3.14pm: 3D_R Disconnected
4.12pm: 3D_R Disconnected
6.31pm: 3D_L Fell out of Straps</t>
  </si>
  <si>
    <t>1.40pm: Tekscan Disconnected
Missing 12 - 14 mins (empty pressure data) in S3 due to Toilet Usage</t>
  </si>
  <si>
    <t xml:space="preserve">1.08pm: Movements to talk to Researcher
3.01pm: Turn to talk to Researcher
4.52pm: Shifting to wear shoes (before break)
5:20:50 - 5:25:00 =&gt; Went Toilet
6:24:00 - 6:31:30 =&gt; Went Toilet
</t>
  </si>
  <si>
    <t>CCTV time off; CCTV time: 23:49:14, GCR filled: 14:47:45; Difference: 14h 58m 31s</t>
  </si>
  <si>
    <t>A056</t>
  </si>
  <si>
    <t>12:44pm</t>
  </si>
  <si>
    <t>2:45pm</t>
  </si>
  <si>
    <t>2:50pm</t>
  </si>
  <si>
    <t>4:51pm</t>
  </si>
  <si>
    <t>4:56pm</t>
  </si>
  <si>
    <t>6:56pm</t>
  </si>
  <si>
    <t>5.16pm-5.19pm: 3F_L disconnected
5.31pm-5.34pm: 3F_L disconnected</t>
  </si>
  <si>
    <r>
      <rPr>
        <sz val="14"/>
        <color rgb="FF000000"/>
        <rFont val="Aptos"/>
      </rPr>
      <t xml:space="preserve">2.25pm-2.26pm: Movements (subject thought that it was his toilet break)
4.53pm: started sitting
2.51pm[23:52:20 (on CCTV)]: pushed the seat back; seat angle changed probably by </t>
    </r>
    <r>
      <rPr>
        <b/>
        <sz val="14"/>
        <color rgb="FF000000"/>
        <rFont val="Aptos"/>
      </rPr>
      <t>3-4 degrees</t>
    </r>
  </si>
  <si>
    <t>CCTV time off; CCTV time: 23:46:27, GCR filled: 14:44:58; Difference: 14h 58m 31s</t>
  </si>
  <si>
    <t>A057</t>
  </si>
  <si>
    <t>12:20pm</t>
  </si>
  <si>
    <t>2:21pm</t>
  </si>
  <si>
    <t>2:26pm</t>
  </si>
  <si>
    <t>4:27pm</t>
  </si>
  <si>
    <t>4:32pm</t>
  </si>
  <si>
    <t>6:33pm</t>
  </si>
  <si>
    <t>1.00pm, 2.46pm, 4.26pm: 2D_R disconnected
2.19pm, 4.52pm: 2D_L disconnected</t>
  </si>
  <si>
    <t>12:19:50pm</t>
  </si>
  <si>
    <t>6:34pm</t>
  </si>
  <si>
    <t>CCTV time off; CCTV time: 01:28:49, GCR filled: 16:27:24; Difference: 14H 58m 35s; 21:21 on video -&gt; around 12:19pm</t>
  </si>
  <si>
    <t>A058</t>
  </si>
  <si>
    <t>12:30pm</t>
  </si>
  <si>
    <t>2:30pm</t>
  </si>
  <si>
    <t>2:36pm</t>
  </si>
  <si>
    <t>4:38pm</t>
  </si>
  <si>
    <t>4:43pm</t>
  </si>
  <si>
    <t>6:44pm</t>
  </si>
  <si>
    <t>1.29pm: 2F_RR disconnected</t>
  </si>
  <si>
    <t>12:29pm</t>
  </si>
  <si>
    <t>2:36:32pm</t>
  </si>
  <si>
    <t>Leans forward to see the screen (every 20mins + 18mins after the 1st break); check video 
2.13pm: picks up Fitbit
2.18pm: leans forward
2:21:30pm - leans forward and touches the screen
5.17pm: leans forward (double notification; check CCTV)
2.49pm: pushes the seat back, changes the seat angle by 1-2 degrees</t>
  </si>
  <si>
    <t>CCTV time off; CCTV time: 23:31:10, GCR filled: 14:29:45; Difference: 14H 58m 35s</t>
  </si>
  <si>
    <t>A059</t>
  </si>
  <si>
    <t>12:50pm</t>
  </si>
  <si>
    <t>2:55pm</t>
  </si>
  <si>
    <t>4:55pm</t>
  </si>
  <si>
    <t>5:00pm</t>
  </si>
  <si>
    <t>7:00pm</t>
  </si>
  <si>
    <t>1.51pm, 2.29pm, 2.49pm, 4.15pm, 4.35pm, 5.19pm: 3D_R disconnected
2.10pm, 3.15pm: Both 3D_R and 3D_L disconnected
6.00pm: 3D_L disconnected</t>
  </si>
  <si>
    <t>12:49pm</t>
  </si>
  <si>
    <t>7:01pm</t>
  </si>
  <si>
    <t>4:42:10 - restart Tekscan (S2)</t>
  </si>
  <si>
    <t>3.34pm-3.35pm: Leaning forward to touch the screen
4.05pm: Turned left to use the phone
4:47:20pm - Movement (check CCTV)
5.57pm: turning and leaning forward to use the phone
Seat angle might have increased by 2-3 degrees by the end of the study</t>
  </si>
  <si>
    <t>CCTV time off; CCTV time: 01:57:10, GCR filled: 16:55:45; Difference: 14H 58m 35s</t>
  </si>
  <si>
    <t>A060</t>
  </si>
  <si>
    <t>12.55pm</t>
  </si>
  <si>
    <t>2.15pm: 3F_R Disconnected
4.54pm: 3F_R Disconnected
6.07pm: 3F_R Disconnected</t>
  </si>
  <si>
    <t>3.42pm - 3.43pm: Tekscan Disconnected (&lt;5 secs lost)</t>
  </si>
  <si>
    <t>2.44pm: Turn to use phone</t>
  </si>
  <si>
    <t>CCTV time off; CCTV time: 23:58:31, GCR filled: 14:57:06; Difference: 14H 58m 35s</t>
  </si>
  <si>
    <t>A061</t>
  </si>
  <si>
    <t>12:52pm</t>
  </si>
  <si>
    <t>2:53pm</t>
  </si>
  <si>
    <t>3:00pm</t>
  </si>
  <si>
    <t>5:01pm</t>
  </si>
  <si>
    <t>5:06pm</t>
  </si>
  <si>
    <t>7:07pm</t>
  </si>
  <si>
    <t>1.12, 1.52, 3.40, 4.00, 5.00, 6.37, 6.51, 7.05pm: Both motion sensors disconnected
2.18, 3.21pm: 2D_L disconnected
5.26, 5.46pm: 2D_R disconnected (about 1500 pts lost)</t>
  </si>
  <si>
    <t>12:51:50pm</t>
  </si>
  <si>
    <t>CCTV time off; CCTV time: 02:19:22, GCR filled: 14:53:14; Difference: 12H 33m 52s</t>
  </si>
  <si>
    <t>A062</t>
  </si>
  <si>
    <t>12:15pm</t>
  </si>
  <si>
    <t>2:18pm</t>
  </si>
  <si>
    <t>2:22pm</t>
  </si>
  <si>
    <t>4:23pm</t>
  </si>
  <si>
    <t>4:28pm</t>
  </si>
  <si>
    <t>6:29pm</t>
  </si>
  <si>
    <t>3.22pm, 4.48pm: 2F_R disconnected</t>
  </si>
  <si>
    <t>2:17pm</t>
  </si>
  <si>
    <t>3.20pm: movements to take something from bag
4.17pm: turned left to clear rubbish
&amp; 6.15pm [05:39:30 on CCTV] pushes the seat back
seat angle increased by 3-4 degrees by the end of the study
finds it comfortable, no discomfort felt at all</t>
  </si>
  <si>
    <t>CCTV time off; CCTV time: 03:48:46, GCR filled: 16:22:38; Difference: 12H 33m 52s</t>
  </si>
  <si>
    <t>A063</t>
  </si>
  <si>
    <t>12:27pm</t>
  </si>
  <si>
    <t>2:29pm</t>
  </si>
  <si>
    <t>2:34pm</t>
  </si>
  <si>
    <t>4:35pm</t>
  </si>
  <si>
    <t>4:40pm</t>
  </si>
  <si>
    <t>6:41pm</t>
  </si>
  <si>
    <t>1.09pm, 2.29pm, 5.40pm: Both motion sensors disconnected
3.33pm: 3D_L disconnected
4.33pm, 6.40pm: 3D_R disconnected</t>
  </si>
  <si>
    <t>12:28pm</t>
  </si>
  <si>
    <t>1.32pm-1.33pm, 2.44pm: movements to use phone</t>
  </si>
  <si>
    <t>CCTV time off; CCTV time: 01:55:26, GCR filled: 14:29:18; Difference: 12H 33m 52s</t>
  </si>
  <si>
    <t>A064</t>
  </si>
  <si>
    <t>2:35pm</t>
  </si>
  <si>
    <t>4:36pm</t>
  </si>
  <si>
    <t>4:41pm</t>
  </si>
  <si>
    <t>6:42pm</t>
  </si>
  <si>
    <t>1.29pm, 2.30pm: 3F_R disconnected
3.54pm, 4.15pm: motion sensors disconnected
5.21pm: 3F_L disconnected</t>
  </si>
  <si>
    <t>2.36pm (02.01.30): pushes the seat back, angle increases by a little</t>
  </si>
  <si>
    <t>CCTV time off; CCTV time: 04:02:11, GCR filled - 16:36:02; Difference: 12H 33m 51s</t>
  </si>
  <si>
    <t>A065</t>
  </si>
  <si>
    <t>1.14pm: Both Disconnected
2.34pm: Both Disconnected
3.20pm: Both Disconnected
4.00pm: 2D_R Disconnected
4.20pm: Both Disconnected
4.40pm: Both Disconnected
5.29pm: Both Disconnected
6.29pm: 2D_R Disconnected</t>
  </si>
  <si>
    <t>CCTV time is 1-2 seconds early; CCTV time: 17:01:49 GCR filled at 17:01:48</t>
  </si>
  <si>
    <t>A066</t>
  </si>
  <si>
    <t>2.08pm: Both Disconnected
5.20pm: Both Disconnected
5.22pm: 2F_L Disconnected</t>
  </si>
  <si>
    <t>1.06pm: Movements to take phone &amp; cup of water</t>
  </si>
  <si>
    <t>CCTV time is 1-2 seconds early; CCTV time: 14:48:42 GCR filled at 14:48:41</t>
  </si>
  <si>
    <t>A067</t>
  </si>
  <si>
    <t>12.44pm</t>
  </si>
  <si>
    <t>6.58pm</t>
  </si>
  <si>
    <t>2.05pm: 3D_L Disconnected
4.12PM: Both Disconnected
4.33pm: 3D_R Disconnected
6.37pm: 3D_R Disconnected
3D_L fell out some time during the study</t>
  </si>
  <si>
    <t>12.56pm: Tekscan Disconnected for a few seconds</t>
  </si>
  <si>
    <t>CCTV time is 1-2 seconds early; CCTV time: 14:45:50 GCR filled at 14:45:48</t>
  </si>
  <si>
    <t>A068</t>
  </si>
  <si>
    <t>1.00pm: Both Disconnected
1.41pm: 3F_R Disconnected
3.28pm: 3F_R Disconnected
4.07pm: 3F_R Disconnected
5.13pm: 3F_L Disconnected</t>
  </si>
  <si>
    <t>6:01:50 - 6:02:00 -&gt; Adjust Pressure Mat (Back) Frame 19050~</t>
  </si>
  <si>
    <t>16.37.30 &amp; last 1hour: Pushed seat back, seat angle increased by 4-5 degrees</t>
  </si>
  <si>
    <t>CCTV time is 1-2 seconds early; CCTV time: 14:41:56 GCR filled at 14:41:55</t>
  </si>
  <si>
    <t>A069</t>
  </si>
  <si>
    <t>Yes</t>
  </si>
  <si>
    <t>4.41pm</t>
  </si>
  <si>
    <t>4.47pm</t>
  </si>
  <si>
    <t>12.50pm: 2D_R Disconnected
1.30pm: Both Disconnected
2.00pm: 2D_R Disconnected
2.17pm: 2D_R Disconnected
2.30pm: 2D_R Disconnected
3.02pm: 2D_R Disconnected
3.21pm: Both Disconnected
3.33pm: 2D_R Disconnected
3.43pm: 2D_R Disconnected
4.06pm: 2D_R Disconnected
5.04pm: Both Disconnected
5.17pm: 2D_R Disconnected
5.28pm: Both Disconnected
6.07pm: 2D_R Disconnected</t>
  </si>
  <si>
    <t>6.48pm</t>
  </si>
  <si>
    <t>Unable to Fetch Omron Data due to overweight (&gt;140kg)
Seat Angle changed from 15 to 36 during study</t>
  </si>
  <si>
    <t>CCTV time is 4 seconds early; CCTV time: 14:36:28 GCR filled at 14:36:32</t>
  </si>
  <si>
    <t>A070</t>
  </si>
  <si>
    <t>7.16pm</t>
  </si>
  <si>
    <t>3.29pm: 2F_L Disconnected
4.29pm: 2F_L Disconnected
5.36pm: Both Disconnected</t>
  </si>
  <si>
    <t>1.04pm - 1.05pm: Adjust in his seat, turn to researcher
1.31pm: Lean Forward to touch toe
1.42pm: Tried using touch screen
2:23:30 - 2:24:00 =&gt; Lean forward to read Rating Descriptor
15th GCR Rating not Submitted
20th GCR Rating Submitted late (Subject entered data but didn't submit)</t>
  </si>
  <si>
    <t>CCTV time is 4 seconds early; CCTV time: 15:03:15 GCR filled at 15:03:19</t>
  </si>
  <si>
    <t>A071</t>
  </si>
  <si>
    <t>6.50pm</t>
  </si>
  <si>
    <t>12.50pm: 3D_R Disconnected
2.28pm: Both Disconnected
3.14pm: 3D_R Disconnected
5.17pm: 3D_R Disconnected</t>
  </si>
  <si>
    <t>CCTV time is 4 seconds early. 
Major movement at CCTV time , Tekscan</t>
  </si>
  <si>
    <t>A072</t>
  </si>
  <si>
    <t>2.02pm: 3F_R Disconnected
2.15pm: Both Disconnected
2.35pm: 3F_R Disconnected
2.41pm: 3F_R Disconnected
3.20pm: Both Disconnected
3.32pm: Both Disconnected
4.01pm: 3F_R Disconnected
5.01pm: Both Disconnected
5.28pm: 3F_R Disconnected
6.03pm: Both Disconnected
6.07pm: 3F_R Disconnected
6.46pm: 3F_R Disconnected</t>
  </si>
  <si>
    <t>CCTV time is 4 seconds early; CCTV time: 14:55:21 GCR filled at 14:55:25</t>
  </si>
  <si>
    <t>A073</t>
  </si>
  <si>
    <t>3.47pm: 3F_R Fell out of Velcro Strap
4.03pm: 3F_L Disconnected
4.49pm: 3F_R Fell out of Velcro Strap
5.29pm: 3F_R Disconnected
6.18pm: 3F_R Disconnected
6.29pm: Both Disconnected
6.37pm: Both Disconnected</t>
  </si>
  <si>
    <t>1.43pm: Adjust Pressure Mat (Back) Frame 3600
3.47pm: Adjust Pressure Mat (Back) Frame 11000~
6.06pm: Adjsut Pressure Mat (Back) Frame 19200~</t>
  </si>
  <si>
    <t>A074</t>
  </si>
  <si>
    <t>7.11pm</t>
  </si>
  <si>
    <t>A0WL</t>
  </si>
  <si>
    <t>31-32</t>
  </si>
  <si>
    <t>1.34pm</t>
  </si>
  <si>
    <t>3.43pm</t>
  </si>
  <si>
    <t>2.16pm: Both Disconnected
3.14pm: Both Disconnected
5.03pm: 3D_L Disconnected
5.24pm: Both Disconnected</t>
  </si>
  <si>
    <t>5.48pm</t>
  </si>
  <si>
    <t>3.42pm</t>
  </si>
  <si>
    <t>Study stopped after S2 at 5.44pm</t>
  </si>
  <si>
    <t>A075</t>
  </si>
  <si>
    <t>3.24pm: 2D_R Disconnected
5.30pm: 2D_L Disconnected
6.10pm: 2D_R Disconnected
6.30pm: 2D_R Disconnected</t>
  </si>
  <si>
    <t>6.27pm: Lean Forward &amp; Turning to use phone</t>
  </si>
  <si>
    <t>CCTV time is 20 seconds early; CCTV time: 14:38:55 GCR filled at 14:39:15</t>
  </si>
  <si>
    <t>A076</t>
  </si>
  <si>
    <t>7.05pm</t>
  </si>
  <si>
    <t>2:02pm 2:26pm &amp; : Pushed seat back
4.57pm: Seat Angle changed from 22 to 32
Pressure mat folded (can remove the last row for more accurate results)</t>
  </si>
  <si>
    <t>CCTV time is 20 seconds early; CCTV time: 14:52:05 GCR filled at 14:52:25</t>
  </si>
  <si>
    <t>A077</t>
  </si>
  <si>
    <t>6.30pm: Both Disconnected due to phone notification "Battery Low"</t>
  </si>
  <si>
    <t>2.03pm: Participant Fell Asleep
4.55pm: Movements to ask for help
6.13pm: Participant Fell Asleep</t>
  </si>
  <si>
    <t>CCTV time is 20 seconds early; CCTV time: 16:29:10 GCR filled at 16:29:30</t>
  </si>
  <si>
    <t>A078</t>
  </si>
  <si>
    <t>12.34pm</t>
  </si>
  <si>
    <t>2.40pm</t>
  </si>
  <si>
    <t>4.46pm</t>
  </si>
  <si>
    <t>4.21pm: 3F_R Disconnected
4.37pm: 3F_R Disconnected</t>
  </si>
  <si>
    <t>Around 5.36pm (?): Tekscan Disconnected. Restarted at 5.39pm</t>
  </si>
  <si>
    <t>Subject feels that seat warmth is causing discomfort
6.41pm - 6.42pm: Use Touch Screen</t>
  </si>
  <si>
    <t>CCTV Time is 20 seconds early; GCR Time - 14:35:30; CCTV - 14:35:10</t>
  </si>
  <si>
    <t>A079</t>
  </si>
  <si>
    <t>2.45pm</t>
  </si>
  <si>
    <t>3.08pm: 2D_R having trouble reconnecting</t>
  </si>
  <si>
    <t>2:55:55pm - Open the Door (?)</t>
  </si>
  <si>
    <t>CCTV time is 1-2 seconds early; CCTV time: 16:46:36 GCR filled at 16:46:38</t>
  </si>
  <si>
    <t>A080</t>
  </si>
  <si>
    <t>1:49:40 &amp; 4:59:30 - pushed the seat back, 1/2deg reclined
5:39:30 - Large Shift to take water
6:20:45 - 6:22:45 =&gt; Toilet</t>
  </si>
  <si>
    <t>CCTV time is 1-2 seconds early; CCTV time: 14:27:12 GCR filled at 14:27:14</t>
  </si>
  <si>
    <t>A081</t>
  </si>
  <si>
    <t>2.21pm</t>
  </si>
  <si>
    <t>4.28pm</t>
  </si>
  <si>
    <t>4.33pm</t>
  </si>
  <si>
    <t>1:05:40pm - Take Water
2:43:40pm - Call Researcher
2:54:00pm - Turn to throw rubbish
4.53pm - 5.01pm: Subject snacking even though she was told to stop</t>
  </si>
  <si>
    <t>CCTV time is 1-2 seconds early; CCTV time: 14:21:04 GCR filled at 14:21:05</t>
  </si>
  <si>
    <t>A082</t>
  </si>
  <si>
    <t>12.15pm</t>
  </si>
  <si>
    <t>2.17pm</t>
  </si>
  <si>
    <t>2.22pm</t>
  </si>
  <si>
    <t>4.23pm</t>
  </si>
  <si>
    <t>6.29pm</t>
  </si>
  <si>
    <t>12.16pm</t>
  </si>
  <si>
    <t>2:51:10pm - Picks up something from floor</t>
  </si>
  <si>
    <t>CCTV time is 1-2 seconds early; CCTV time: 14:17:21 GCR filled at 14:17:22</t>
  </si>
  <si>
    <t>A083</t>
  </si>
  <si>
    <t>12.18pm</t>
  </si>
  <si>
    <t>12.27pm - 12.31pm: Both Disconnected
1.18pm: 2D_ R Disconnected
1.38pm: Both Disconnected
1.58pm: 2D_R Disconnected
3.45pm: Both Disconnected
4.04pm: 2D_R Disconnected
4.24pm: 2D_R Disconnected</t>
  </si>
  <si>
    <t>4.45pm: Lean forward to touch screen
Overall Discomfort Rating shot up last 40 minutes</t>
  </si>
  <si>
    <t>CCTV time is 12 seconds early; CCTV time: 14:19:33 GCR filled at 14:19:45</t>
  </si>
  <si>
    <t>A084</t>
  </si>
  <si>
    <t>12.14pm</t>
  </si>
  <si>
    <t>2.15pm</t>
  </si>
  <si>
    <t>6.26pm</t>
  </si>
  <si>
    <t>12.13pm</t>
  </si>
  <si>
    <t>CCTV time is 12 seconds early; CCTV time: 14:14:33 GCR filled at 14:14:45</t>
  </si>
  <si>
    <t>A085</t>
  </si>
  <si>
    <t>1.03pm: 3D_L Disconnected
1.30pm: 3D_L Disconnected
1.40pm: Both Disconnected
2.30pm: Both Disconnected
3.20pm: 3D_R Disconnected
6.43pm: 3D_R Disconnected</t>
  </si>
  <si>
    <t>12.28pm</t>
  </si>
  <si>
    <t>12.43pm: Face Camera Started Late</t>
  </si>
  <si>
    <t>CCTV time is 12 seconds early; CCTV time: 14:30:46 GCR filled at 14:30:58</t>
  </si>
  <si>
    <t>A086</t>
  </si>
  <si>
    <t>12.36pm</t>
  </si>
  <si>
    <t>1.34pm: 3F_R Disconnected
3.00pm - 3.03pm: 3F_L Disconnected</t>
  </si>
  <si>
    <t>6.52pm</t>
  </si>
  <si>
    <t>1.34pm: Adjust Face Camera Angle (Bad Angle)</t>
  </si>
  <si>
    <t>CCTV time is 12 seconds early; CCTV time: 16:44:04 GCR filled at 16:44:16</t>
  </si>
  <si>
    <t>A087</t>
  </si>
  <si>
    <t>12.33pm</t>
  </si>
  <si>
    <t>4.19pm: 2D_R disconnected</t>
  </si>
  <si>
    <t>1:57pm: Pushed seat back, seat angle changed by 2-3 degrees</t>
  </si>
  <si>
    <t>CCTV time is 14-15 seconds early; CCTV time: 14:34:12 GCR filled at 14:34:26</t>
  </si>
  <si>
    <t>A088</t>
  </si>
  <si>
    <t>-</t>
  </si>
  <si>
    <t>6.17pm: Lean forward to open sweets</t>
  </si>
  <si>
    <t>CCTV time is 14-15 seconds early; CCTV time: 16:45:11 GCR filled at 16:45:26</t>
  </si>
  <si>
    <t>A089</t>
  </si>
  <si>
    <t>3.02pm</t>
  </si>
  <si>
    <t>1.13pm: Disconnected
From 2.58pm-3.02pm: data not saved</t>
  </si>
  <si>
    <t>Seat angle changes as the participant pushes the backrest @ 13:02:20, 17:02:00; Post-study feedback: cloe to no discomfort, only ache on shoulders</t>
  </si>
  <si>
    <t>?</t>
  </si>
  <si>
    <t>CCTV time is 14-15 seconds early; CCTV time: 16:57:39 GCR filled at 16:57:53</t>
  </si>
  <si>
    <t>A090</t>
  </si>
  <si>
    <t>12.29pm</t>
  </si>
  <si>
    <t>6.41pm</t>
  </si>
  <si>
    <t>6.42pm</t>
  </si>
  <si>
    <t>12:30:40: stand up, filled ratings twice initially
1.10pm &amp; 2.10pm: Lean forward to talk to researchers
2:18:00 - 2:19:40: pressing coat button &amp; turning to inspect surroundings
3.57pm/4.16pm/5.43pm: unnecessary movements</t>
  </si>
  <si>
    <t>CCTV time is 17 seconds early; CCTV time: 14:29:26 GCR filled at 14:29:43</t>
  </si>
  <si>
    <t>A091</t>
  </si>
  <si>
    <t>12.55pm/1.26pm/2.57pm/3.35pm/5.10pm/6.40pm: disconnected</t>
  </si>
  <si>
    <t>CCTV time is 2 seconds early; CCTV time: 14:50:31 GCR filled at 14:50:33</t>
  </si>
  <si>
    <t>A092</t>
  </si>
  <si>
    <t>CCTV time is 2 seconds early; CCTV time: 16:40:25 GCR filled at 16:40:27</t>
  </si>
  <si>
    <t>A093</t>
  </si>
  <si>
    <t>1.26pm/3.35pm/4.30pm/5.33pm: disconnected due to participant's posture</t>
  </si>
  <si>
    <t>12.43pm</t>
  </si>
  <si>
    <t>6.02pm/6:06:40pm/6.14pm-6.15pm/6.34pm: using phone (check CCTV)</t>
  </si>
  <si>
    <t>CCTV time is 2 seconds early; CCTV time: 14:44:02 GCR filled at 14:44:04</t>
  </si>
  <si>
    <t>A094</t>
  </si>
  <si>
    <t>12.04pm</t>
  </si>
  <si>
    <t>2.05pm</t>
  </si>
  <si>
    <t>2.10pm</t>
  </si>
  <si>
    <t>4.10pm</t>
  </si>
  <si>
    <t>4.15pm</t>
  </si>
  <si>
    <t>6.15pm</t>
  </si>
  <si>
    <t>CCTV time is 2 seconds early; CCTV time: 14:04:43 GCR filled at 14:04:45</t>
  </si>
  <si>
    <t>A095</t>
  </si>
  <si>
    <t>4.16pm: Restarted motion sensors (S2_2)</t>
  </si>
  <si>
    <t>1.11pm-1.13pm: Making a call</t>
  </si>
  <si>
    <t>CCTV time is 14-15 seconds early; GCR (1st break) filled at 14:34:58; CCTV time: 14:34:43</t>
  </si>
  <si>
    <t>A096</t>
  </si>
  <si>
    <t>5.35pm-5.37pm:2F_R dropped out, recording stopped</t>
  </si>
  <si>
    <t>2.52pm: Talk to researcher</t>
  </si>
  <si>
    <t>CCTV time is 14-15 seconds early; CCTV time: 14:25:12 GCR filled at 14:25:27</t>
  </si>
  <si>
    <t>A097</t>
  </si>
  <si>
    <t>12.56pm</t>
  </si>
  <si>
    <t xml:space="preserve">1:16pm: Metamotion crashed. New session started
</t>
  </si>
  <si>
    <t>Check Video: Participant seems to be touching the screen often
3:08pm&amp;5:39pm: Movements to talk to researcher
6:11pm - 6:12pm: Subject lean forward to touch screen
6:21pm - 6:23pm: Subject got out of seat to make a call
6:04pm: Duplicate input for GCR. Subject filled 3 false notifications (5:24pm, 5:44pm, 6:04pm)
6:53pm: Extra GCR entry</t>
  </si>
  <si>
    <t>CCTV time is 14-15 seconds early; CCTV time: 14:56:23 GCR filled at 14:56:37</t>
  </si>
  <si>
    <t>A098</t>
  </si>
  <si>
    <t>1.11pm&amp;1.21pm: Movements to talk to researcher
CCTV data missing last 30 seconds</t>
  </si>
  <si>
    <t>CCTV time is 14-15 seconds early; CCTV time: 16:51:44 GCR filled at 16:51:59</t>
  </si>
  <si>
    <t>A099</t>
  </si>
  <si>
    <t xml:space="preserve">Small change in angle as participant gradually pushes the seat back
2:42pm - 2:46pm: CCTV stopped </t>
  </si>
  <si>
    <t>CCTV time is 17-18 seconds early; GCR (1st break) filled at 14:40:10; CCTV time: 14:39:53</t>
  </si>
  <si>
    <t>A100</t>
  </si>
  <si>
    <t>1pm</t>
  </si>
  <si>
    <t>3pm</t>
  </si>
  <si>
    <t>5.08pm</t>
  </si>
  <si>
    <t>Tekscan disconnected</t>
  </si>
  <si>
    <t>Around 20-30 minutes after starting, seat angle changed until start of second break. Reset back to 31deg at second break 
2:42pm - 2:46pm: CCTV stopped
5.29pm: Duplicate notifications. Extra entry at 17:29:06</t>
  </si>
  <si>
    <t>CCTV time is 17-18 seconds early; CCTV time: 15:01:10 GCR filled at 15:01:27</t>
  </si>
  <si>
    <t>A101</t>
  </si>
  <si>
    <t>6.47pm</t>
  </si>
  <si>
    <t>Seat angle gradually changes as participant leans back
2.42pm - 2.46pm: CCTV stopped
3.47pm: The subject fell asleep, missed the GCR data record at 3.38pm
5.25pm: Subject adjusting velcro straps</t>
  </si>
  <si>
    <t>CCTV time is 17-18 seconds early; CCTV time: 14:32:08 GCR filled at 14:32:26</t>
  </si>
  <si>
    <t>A102</t>
  </si>
  <si>
    <t>2:42pm - 2:46pm: CCTV stopped
2.52pm: Duplicated notification. Disabled it. Sending manually.</t>
  </si>
  <si>
    <t>CCTV time is 17-18 seconds early; CCTV time: 14:32:01 GCR filled at 14:32:18</t>
  </si>
  <si>
    <t>A103</t>
  </si>
  <si>
    <t>4:10pm: Restarted pressure mat</t>
  </si>
  <si>
    <t>4.59pm</t>
  </si>
  <si>
    <t>4.05pm: Subject went to the toilet</t>
  </si>
  <si>
    <t>A104</t>
  </si>
  <si>
    <t>1.03pm</t>
  </si>
  <si>
    <t>7.15pm</t>
  </si>
  <si>
    <t>A105</t>
  </si>
  <si>
    <t>A106</t>
  </si>
  <si>
    <t>12.12pm</t>
  </si>
  <si>
    <t>4.20pm</t>
  </si>
  <si>
    <t>12.11pm</t>
  </si>
  <si>
    <t>1.54pm: shift to talk to the researcher</t>
  </si>
  <si>
    <t>CCTV time in line with GCR and Tekscan</t>
  </si>
  <si>
    <t>A107</t>
  </si>
  <si>
    <t>4.02pm</t>
  </si>
  <si>
    <t>CCTV time off; 20:56:02 =&gt; 14:51:24 (actual)
Tekscan 2:51:48PM -&gt; 20:56:26</t>
  </si>
  <si>
    <t>A108</t>
  </si>
  <si>
    <t>5.57pm: 3D_L Disconnected</t>
  </si>
  <si>
    <t>2.34pm: Adjust Posture
Pressure mat was out of position for some time</t>
  </si>
  <si>
    <t>Frame 13207 (4:27:20) roughly corresponds to 22:32:00 (CCTV)</t>
  </si>
  <si>
    <t>A109</t>
  </si>
  <si>
    <t>Recorded pressure seems to be unusually high</t>
  </si>
  <si>
    <t>CCTV time off; GCR filled - 14:30:36, CCTV time - 20:35:11; 
Moment of big pressure change: 13:10:21 (Tekscan), CCTV time - 19:14:56
Difference: 6H 4M 35S</t>
  </si>
  <si>
    <t>A110</t>
  </si>
  <si>
    <t>1.22pm</t>
  </si>
  <si>
    <t>7.35pm</t>
  </si>
  <si>
    <t>1.21pm</t>
  </si>
  <si>
    <t>5:37:20 - 5:39:40 - Talking to researcher about break time</t>
  </si>
  <si>
    <t>CCTV Time Off; GCR filled 15:22:12, CCTV Time 21:26:48</t>
  </si>
  <si>
    <t>A111</t>
  </si>
  <si>
    <t>2.11pm</t>
  </si>
  <si>
    <t>4.11pm</t>
  </si>
  <si>
    <t>4.18pm</t>
  </si>
  <si>
    <t>6.18pm</t>
  </si>
  <si>
    <t>4.17pm</t>
  </si>
  <si>
    <t>Not Much discomfort felt throughout
12:31:30 - 12:31:45 - Lean Forward to move bag
CCTV 20:16:30 (right after 1st break): pushes the backrest very hard, big change in angle &amp; gradual change till the second break</t>
  </si>
  <si>
    <t>CCTV Time Off; GCR filled 14:05:12, CCTV Time 20:09:47</t>
  </si>
  <si>
    <t>A112</t>
  </si>
  <si>
    <t>5.05pm</t>
  </si>
  <si>
    <t>7.06pm</t>
  </si>
  <si>
    <t>12:58:30 - 12:59:30 - Using Phone to Call someone
6.21pm: Call</t>
  </si>
  <si>
    <t>Frame10131 (3:39:53pm) corresponds to 21:44:28 on CCTV footage</t>
  </si>
  <si>
    <t>CCTV Time Off; GCR filled 16:59:49, CCTV Time 23:04:25</t>
  </si>
  <si>
    <t>A113</t>
  </si>
  <si>
    <t>Motion Sensors is getting stopped</t>
  </si>
  <si>
    <t>15:12:20 - 15:12:40 - Done Eating. Shifting
15:13:38 - Take Water Bottle
15:30:40 - 15:30:50 &amp; 15:31:20 - Using Phone on the side console</t>
  </si>
  <si>
    <t>CCTV time is 1-2 seconds late; CCTV time: 14:44:14 GCR filled at 14:44:12; CCTV time in line with Tekscan</t>
  </si>
  <si>
    <t>A114</t>
  </si>
  <si>
    <t>Participant always lean forward to fill in ratings
2:44:20 - 14:44:40 - Moving
15:06:40 - 15:06:59 - Adjusting Slippers
180217-180648 CCTV encoding issue</t>
  </si>
  <si>
    <t>CCTV time is 1-2 seconds late; CCTV time: 14:46:09 GCR filled at 14:46:08</t>
  </si>
  <si>
    <t>A115</t>
  </si>
  <si>
    <t>Missed 2nd rating. Filled 1 min late
8th Rating in GCR Delay by 2 mins
2:55:10 - 2:55:55: Shifting to wear sweater</t>
  </si>
  <si>
    <t>CCTV time is 3 seconds late; CCTV time: 14:46:52 GCR filled at 14:46:49</t>
  </si>
  <si>
    <t>A116</t>
  </si>
  <si>
    <t>4.12pm: 3D_L Disconnected</t>
  </si>
  <si>
    <t>After Break, rating went down. 1hr 40min mark had highest rating
=&gt; Adjusted hB / uB posture to make himself more comfortable
15:44:40: pushed seat back</t>
  </si>
  <si>
    <t>CCTV time is 8 seconds early; CCTV time: 14:46:18 GCR filled at 14:46:26</t>
  </si>
  <si>
    <t>A117</t>
  </si>
  <si>
    <t>12.26pm</t>
  </si>
  <si>
    <t>6.39pm</t>
  </si>
  <si>
    <t>1.41pm (Frame 4480): Adjusting Motion Sensors</t>
  </si>
  <si>
    <t>Usually high tolerance
1:47:30 - 1:48:30: Subtitle Issue
3:13:20 - 2:15:30: Subtitle Issue (Movements by participant)
5.44pm - Movements by participant (Problem with earbud)</t>
  </si>
  <si>
    <t>CCTV time is 8 seconds early; CCTV time: 14:27:04 GCR filled at 14:27:12</t>
  </si>
  <si>
    <t>A118</t>
  </si>
  <si>
    <t>12.58pm</t>
  </si>
  <si>
    <t>4.05pm: 2D_R Disconnected
4.25pm: 2D_R Disconnected
5.52pm: 2D_R Disconnected
6.12pm: 2D_R Disconnected
6.32pm: 2D_R Disconnected</t>
  </si>
  <si>
    <t>13:51:20: pushes seat back</t>
  </si>
  <si>
    <t>CCTV time is 8 seconds early; CCTV time: 14:59:55 GCR filled at 15:00:03
Moment of big pressure change: 13:51:33 (Tekscan); CCTV time - 13:51:23</t>
  </si>
  <si>
    <t>A119</t>
  </si>
  <si>
    <t>CCTV time is 14-15 seconds early; CCTV time: 14:45:48 GCR filled at 14:46:03
16:43:01 -&gt; Bringing right leg up (4:43:16 on Tekscan)</t>
  </si>
  <si>
    <t>A120</t>
  </si>
  <si>
    <t>Pushes the seat back right after both breaks (16:58)</t>
  </si>
  <si>
    <t>CCTV time is 14-15 seconds early; CCTV time: 14:43:48 GCR filled at 14:44:02
16:43:01 -&gt; Bringing right leg up (4:43:16 on Tekscan)</t>
  </si>
  <si>
    <t>A121</t>
  </si>
  <si>
    <t>6.49pm</t>
  </si>
  <si>
    <t>2.57pm: Duplicate Entry
6.35pm: Subject stood up because thought it's End of Study</t>
  </si>
  <si>
    <t>CCTV time is 14-15 seconds early; CCTV time: 14:43:27 GCR filled at 14:43:41
Changing posture at CCTV time 12:58:36, Tekscan 12:58:50
Sitting upright at CCTV time 16:46:36, Tekscan 4:46:50PM
16:43:01 -&gt; Bringing right leg up (4:43:16 on Tekscan)</t>
  </si>
  <si>
    <t>A122</t>
  </si>
  <si>
    <t>1.16pm</t>
  </si>
  <si>
    <t>1.17pm</t>
  </si>
  <si>
    <t>CCTV time is 15-16 seconds early; CCTV time: 15:17:50 GCR filled at 15:18:06
Changing posture at CCTV time 12:58:36, Tekscan 12:58:50
Sitting upright at CCTV time 16:46:36, Tekscan 4:46:50PM
16:43:01 -&gt; Bringing right leg up (4:43:16 on Tekscan)</t>
  </si>
  <si>
    <t>A123</t>
  </si>
  <si>
    <t>5.39pm: Metabase App Crash</t>
  </si>
  <si>
    <t>CCTV time is 3 seconds early; CCTV time: 14:41:16, GCR filled at 14:41:19</t>
  </si>
  <si>
    <t>A124</t>
  </si>
  <si>
    <t>Got Up during break (20 mins early)</t>
  </si>
  <si>
    <t xml:space="preserve">CCTV time is 3 seconds early; CCTV time: 14:44:55, GCR filled at 14:44:58
00:39:13 on CCTV video corresponds to 1:19:10 on Tekscan
</t>
  </si>
  <si>
    <t>A125</t>
  </si>
  <si>
    <t>12.59pm</t>
  </si>
  <si>
    <t>6.08pm: Adjust Motion Sensors</t>
  </si>
  <si>
    <t>6th GCR 10 mins late as notification sent late</t>
  </si>
  <si>
    <t>CCTV time is 2-3 seconds early
Major movement at CCTV time 13:35:55, Tekscan 1:35:58</t>
  </si>
  <si>
    <t>A126</t>
  </si>
  <si>
    <t>5.23pm: Turn off notifications</t>
  </si>
  <si>
    <t>CCTV time is 2-3 seconds early</t>
  </si>
  <si>
    <t>A127</t>
  </si>
  <si>
    <t>1.21pm: 2D_R disconnected</t>
  </si>
  <si>
    <t>CCTV time is 3 seconds early; CCTV time: 14:41:54, GCR filled at 14:41:57
Lifting both legs slightly @ 18:27:57 (6:28:00 on Tekscan)</t>
  </si>
  <si>
    <t>A128</t>
  </si>
  <si>
    <t>16:34:45 - pushed backrest, change in seat angle
Used to fly often. Not much discomfort overall
Tekscan timing is off. Need to refer to GCR data to change the time (file saved at 7:52:02AM on Laptop time)</t>
  </si>
  <si>
    <t>CCTV time is 3 seconds early; CCTV time: 14:37:35, GCR filled at 14:37:38
EDITED EXCEL 7449'th imdex (Frame no. 7419) time to be consistent with CCTV</t>
  </si>
  <si>
    <t>A129</t>
  </si>
  <si>
    <t>5.51pm: Participant Fell Asleep</t>
  </si>
  <si>
    <t xml:space="preserve">CCTV time is 3 seconds early; CCTV time: 14:39:42, GCR filled at 14:39:45
Lifting leg at CCTV time 14:31:15, Tekscan 2:31:18pm
</t>
  </si>
  <si>
    <t>A130</t>
  </si>
  <si>
    <t>Very tolerant to sitting. Used to take flights very often.
14:40:30 =&gt; Reaching for Slippers</t>
  </si>
  <si>
    <t>CCTV time is 3 seconds early; GCR time- 14:44:23, CCTV time - 14:44:20
Posture change on CCTV time: 15:34:36, Tekscan time: 3:34:39PM</t>
  </si>
  <si>
    <t>A131</t>
  </si>
  <si>
    <t>Face Camera Recorded using 3D Sim Card
1.01pm(Filling in 2nd Rating): Talk to researcher
1.38pm: Subject Lean Forward to read study guideline
2.15pm - 2.23pm: Subject got stomachache. Go Toilet.
3.26pm: Talk to researcher</t>
  </si>
  <si>
    <t>CCTV time is 10-11 seconds early; CCTV time: 14:37:25, GCR filled at 14:37:36
Got up from seat at CCTV time 14:14:17, Tekscan time 2:14:28PM</t>
  </si>
  <si>
    <t>A132</t>
  </si>
  <si>
    <t>Face Camera Recorded using 2D Sim Card
1.25pm: Talk to Researcher</t>
  </si>
  <si>
    <t>CCTV time is 10-11 seconds early; CCTV time: 14:44:53, GCR filled at 14:45:04
Sitting upright at CCTV time 14:20:21, Tekscan time 2:20:30-2:20:31</t>
  </si>
  <si>
    <t>A133</t>
  </si>
  <si>
    <t>1.12pm</t>
  </si>
  <si>
    <t>3.19pm</t>
  </si>
  <si>
    <t>6.43pm: Talk to Researcher</t>
  </si>
  <si>
    <t>CCTV time is 10-11 seconds early; CCTV time: 15:13:02, GCR filled at 15:13:13</t>
  </si>
  <si>
    <t>A134</t>
  </si>
  <si>
    <t>Went for Early Break at 2.28pm/2.29pm
2nd break @ 4.56pm
5.02pm - 5.05pm: Eating before filling in GCR
5.07pm: Stood Up to throw trash
6.53:45pm - 6:56:00 =&gt; Toilet</t>
  </si>
  <si>
    <t>CCTV time is 2 seconds early; CCTV time: 14:28:45, GCR filled at 14:28:47
Major movement at CCTV time: 13:55:48 , Tekscan time 1:55:50PM
Cross-legged position on CCTV time: 13:54:42, Tekscan time 1:54:43</t>
  </si>
  <si>
    <t>A135</t>
  </si>
  <si>
    <t>1.12pm: 3D_L Disconnected
3.39pm: 3D_R Disconnected (Participant Crossing Legs)</t>
  </si>
  <si>
    <t xml:space="preserve">CCTV time is 2 seconds early; 
Cross-legged position on CCTV time: </t>
  </si>
  <si>
    <t>A136</t>
  </si>
  <si>
    <t>3.57pm: Participant Fell Asleep
4.04:30pm - 4:06:30pm =&gt; Subtitle Issue
5.15pm - 5:16:30pm =&gt; Subtitle Issue</t>
  </si>
  <si>
    <t>CCTV time is 2 seconds early; CCTV time: 14:39:28, GCR time: 14:39:30
Major movement at CCTV time 18:32:07, Tekscan 6:32:05-06PM</t>
  </si>
  <si>
    <t>A137</t>
  </si>
  <si>
    <t>6.34pm: Right Motion Sensor was missing at the end of study [CHECK CCTV]</t>
  </si>
  <si>
    <t>13:40:05 &amp; 15:35:05: pushed backrest, change in seat angle
Mostly No Discomfort
6.12pm: Duplicate Submission
6.16pm: Talk to Researcher</t>
  </si>
  <si>
    <t>CCTV time is 13-14 seconds early; CCTV time: 14:19:43 GCR filled at 14:19:57
Got up at CCTV time 14:19:57, Tekscan time 2:20:13PM (16 seconds), Talk to researcher at CCTV 18:15:16, Tekscan 6:15:31PM</t>
  </si>
  <si>
    <t>A138</t>
  </si>
  <si>
    <t>4.24pm: Talk to Researcher</t>
  </si>
  <si>
    <t>CCTV time is 13-14 seconds early; CCTV time: 14:38:13 GCR filled at 14:38:25</t>
  </si>
  <si>
    <t>A139</t>
  </si>
  <si>
    <t>4.27pm</t>
  </si>
  <si>
    <t>6.33pm</t>
  </si>
  <si>
    <t>CCTV time is 13-14 seconds early; CCTV time: 14:19:57 GCR filled at 14:20:10
Changed posture at CCTV time: 14:15:27-14:15:28, Tekscan time 2:15:40</t>
  </si>
  <si>
    <t>A140</t>
  </si>
  <si>
    <t>CCTV time is 13-14 seconds early; CCTV time: 14:43:44 GCR filled at 14:43:58</t>
  </si>
  <si>
    <t>A141</t>
  </si>
  <si>
    <t>Tekscan has been delayed by 10 seconds</t>
  </si>
  <si>
    <t xml:space="preserve">CCTV time is 20 seconds early; CCTV time: 14:48:47, GCR filled at 14:49:07
Lifts body off from mat at CCTV time 15:58:27 &amp; 18:53:23, Tekscan time 3:58:47PM &amp; 6:53:43PM
</t>
  </si>
  <si>
    <t>A142</t>
  </si>
  <si>
    <t>4.34pm: Subject looking around (?)
Check for lag in the Tekscan timing (compared to CCTV movements) CCTV Time is 20 seconds early (GCR filled at 14:47:40, on CCTV: 14:47:20)</t>
  </si>
  <si>
    <t>CCTV time is 20 seconds early; CCTV time: 14:47:20, GCR filled at 14:47:40</t>
  </si>
  <si>
    <t>A143</t>
  </si>
  <si>
    <t xml:space="preserve">CCTV time is 20 seconds early; CCTV time: 14:52:29, GCR filled at 14:52:49
Change in posture at  CCTV time 15:49:56, Tekscan time 3:50:16PM
</t>
  </si>
  <si>
    <t>A144</t>
  </si>
  <si>
    <t>4.22pm</t>
  </si>
  <si>
    <t>Face Camera is not started at 12.15pm; Instead it started at 12.40pm
Feedback: Seat was hard. Armrest (L) not long enough.</t>
  </si>
  <si>
    <t>CCTV time is 20 seconds early; GCR time- 14:42:33, CCTV time- 14:42:14</t>
  </si>
  <si>
    <t>A145</t>
  </si>
  <si>
    <t>Extra SD Card Used from 2nd Break</t>
  </si>
  <si>
    <t>CCTV time is 1-2 seconds early; CCTV time: 14:32:28, GCR filled at 14:32:30
Major movement at CCTV time 16:13:37 &amp; 16:13:49 , Tekscan time 4:13:38PM &amp; 4:13:50PM (1 sec)</t>
  </si>
  <si>
    <t>A146</t>
  </si>
  <si>
    <t>3.40pm</t>
  </si>
  <si>
    <t>3.47pm</t>
  </si>
  <si>
    <t>5.55pm</t>
  </si>
  <si>
    <t>7.55pm</t>
  </si>
  <si>
    <t>5.49pm</t>
  </si>
  <si>
    <t>2.18pm: Validated GCR App
2.19pm: After 3rd Rating, Seat Angle changed from 37 to 32
3:56:30pm: Talk to Researcher (NOT ICM)
3:58:30pm: Leaning Forward to choose show
4.10pm - 4.12pm: Answering Call
4.17pm - 4:18:30pm: Using Phone; Talk to Researcher
4.19pm: Move to Talk to Researcher 
4.26pm - 4:27:30pm: Use Phone
4.50pm - 4.51pm: Talk to Researcher (Not ICM)
5.00pm - 5.01pm: Using Phone
Feedback: Neck Discomfort. Other Parts felt OK.</t>
  </si>
  <si>
    <t>CCTV time is 1-2 seconds early; CCTV time: 17:48:35:, GCR filled at 17:48:37
Posture change at CCTV time 19:11:06, Tekscan time 7:11:07PM (1 second)</t>
  </si>
  <si>
    <t>A147</t>
  </si>
  <si>
    <t>12:41:30pm =&gt; Take Bag
1.12pm: Filled Rating Early (Before 1.19pm)
At 1st break, change from 3D -&gt; 2D SD Card
5:02:45pm - 5:03:25pm =&gt; Eating &amp; Arranging Rubbish (Frame up to 15880)</t>
  </si>
  <si>
    <t>CCTV time is 1-2 seconds early; CCTV time: 14:40:13, GCR filled at 14:40:15
Posture change at CCTV time 15:28:01, Tekscan time 3:28:02PM (1 sec)</t>
  </si>
  <si>
    <t>A148</t>
  </si>
  <si>
    <t>CCTV time is 1-2 seconds early; CCTV time: 14:49:17, GCR filled at 14:49:19
Major movement at CCTV time 16:00:18, Tekscan time 4:00:20PM</t>
  </si>
  <si>
    <t>A149</t>
  </si>
  <si>
    <t>2D_L Disconnected =&gt; 1.28pm, 5.39pm
2D_R Disconnected =&gt; 1.48pm, 6.59pm
Both Disconnected =&gt; 3.14pm, 5.19pm, 5.59pm
4.18pm: Both Motion Sensors fell out of strap. Movements to fix Issue</t>
  </si>
  <si>
    <t>4.18pm: Both Motion Sensors fell out of strap. Movements to fix Issue
CCTV Disconnected Halfway: 2.54pm
MiniCam Footage on "Seat3D" Sim Card</t>
  </si>
  <si>
    <t>CCTV time is 13-14 seconds early; CCTV time: 14:47:34, GCR filled at 14:47:47
Lifted off body at CCTV time 13:09:57, Tekscan time 1:10:11 (14 seconds)
Got up from seat at CCTV time 16:54:11, Tekscan time 4:54:26PM (15 seconds)</t>
  </si>
  <si>
    <t>A150</t>
  </si>
  <si>
    <t>CCTV Disconnected halfway</t>
  </si>
  <si>
    <t>CCTV time is 13-14 seconds early;
Got up at CCTV time 14:19:57, Tekscan time 2:20:13PM (16 seconds), Talk to researcher at CCTV 18:15:16, Tekscan 6:15:31PM</t>
  </si>
  <si>
    <t>A151</t>
  </si>
  <si>
    <t>6.40pm</t>
  </si>
  <si>
    <t>1.48pm: 3D_R Disconnected
2.54pm: 3D_R Disconnected
5.04pm: 3D_R Disconnected
5.39pm: 3D_L Disconnected
5.59pm: 3D_L Disconnected</t>
  </si>
  <si>
    <t>4.39pm - 5.09pm: Face Camera Footage on "5XT" Sim Card. (3D Sim Card ran out of memory)
CCTV Disconnected halfway</t>
  </si>
  <si>
    <t xml:space="preserve">CCTV time is 13-14 seconds early; CCTV time: 14:28:42, GCR filled at 14:28:55
Change of posture (lifts leg) at CCTV time 17:50:45, Tekscan time 5:50:58PM (13 seconds)
</t>
  </si>
  <si>
    <t>A152</t>
  </si>
  <si>
    <t>3.33pm: 3F_R Disconnected
5.19pm: Both Disconnected
5.39pm: 3F_R Disconnected
6.00pm: 3F_R Disconnected</t>
  </si>
  <si>
    <t>2.46pm: Subject filled in 9th Rating 6 minutes early
2.50pm - 2.52pm: Movements to take bag
CCTV Disconnected Halfway</t>
  </si>
  <si>
    <t>CCTV time is 13-14 seconds early; CCTV time: 14:26:23, GCR filled at 14:26:36</t>
  </si>
  <si>
    <t>A153</t>
  </si>
  <si>
    <t>4.29pm: 2D_R Disconnected
5.09pm: 2D_R Disconnected
5.36pm: 2D_R Disconnected
6.36pm: Both Disconnected</t>
  </si>
  <si>
    <t>CCTV time is in-line with GCR; 
Change of posture at CCTV time 14:28:40, Tekscan time 2:28:44PM (4 seconds off between CCTV &amp; Tekscan)</t>
  </si>
  <si>
    <t>A154</t>
  </si>
  <si>
    <t>Tekscan Stopped recording =&gt; Restarted at 6:18:30pm. Missing about 40 minutes of data</t>
  </si>
  <si>
    <t>Feedback: Subject mentioned that GCR Rating should include neck discomfort as that caused him most discomfort</t>
  </si>
  <si>
    <t>CCTV time is in-line with GCR &amp; Tekscan; 
Change of posture at CCTV time 16:02:51, Tekscan time 4:02:51PM</t>
  </si>
  <si>
    <t>A155</t>
  </si>
  <si>
    <t>20-22</t>
  </si>
  <si>
    <t>1.04pm: 3D_R Disconnected
2.50pm: 3D_R Disconnected
3.10pm: 3D_R Disconnected
6.15pm: 3D_L Disconnected</t>
  </si>
  <si>
    <t>2.06pm: Movements when participant called for assistance
Feedback: Breaks helped to relieve quite a bit of discomfort. Got more comfortable towards the end</t>
  </si>
  <si>
    <t>CCTV time is in-line with GCR &amp; Tekscan 
Change of posture at CCTV time 17:23:28, Tekscan time 5:23:28PM</t>
  </si>
  <si>
    <t>A156</t>
  </si>
  <si>
    <t>6.12pm - 6.14pm: Talking to Researcher</t>
  </si>
  <si>
    <t>CCTV time is 1-2 seconds early; CCTV time: 14:17:16, GCR filled at 14:17:17
Left seat to go for break at CCTV time 14:17:34, Tekscan time 2:17:36PM (2 seconds)
Major movement at CCTV time 17:28:05, Tekscan time 5:28:07PM</t>
  </si>
  <si>
    <t>A157</t>
  </si>
  <si>
    <t>2.13pm</t>
  </si>
  <si>
    <t>6.27pm</t>
  </si>
  <si>
    <t>Feedback: Slight Discomfort on the back (no lumbar support)
Tekscan has been delayed by 2 min 28 seconds</t>
  </si>
  <si>
    <t>CCTV time is in-line with GCR, 1 second earlier than Tekscan 
Change of posture at CCTV time 18:02:15, Tekscan time 6:02:16PM (1 second earlier)</t>
  </si>
  <si>
    <t>A158</t>
  </si>
  <si>
    <t>2.25pm: 3F_L Disconnected
6.39pm: Both Disconnected</t>
  </si>
  <si>
    <t>CCTV time is 1-2 seconds early; CCTV time: 14:27:03, GCR filled at 14:27:04
Movement to talk to researcher at CCTV Time 14:15:54, Tekscan time 14:15:56
Major movement at CCTV time 16:00:18, Tekscan time 4:00:20PM</t>
  </si>
  <si>
    <t>A159</t>
  </si>
  <si>
    <t>3.37pm</t>
  </si>
  <si>
    <t>5.39pm</t>
  </si>
  <si>
    <t>7.45pm</t>
  </si>
  <si>
    <t>Feedback: Subject mention that sitting for prolonged period will result in sweat/heat. Otherwise, not much discomfort.</t>
  </si>
  <si>
    <t>CCTV time is 12-13 seconds early; CCTV time: 15:30:44, GCR filled at 15:30:57
Posture change (right leg up) at CCTV time 19:38:06, Tekscan time 7:38:26PM (CCTV 20 seconds earlier than Tekscan)</t>
  </si>
  <si>
    <t>A160</t>
  </si>
  <si>
    <t>6.28pm</t>
  </si>
  <si>
    <t>5.43pm: Put Items in bag</t>
  </si>
  <si>
    <t>CCTV time is 12-13 seconds early; CCTV time: 14:15:36, GCR filled at 14:15:48
Posture change at CCTV time 13:00:21, Tekscan time 1:00:33PM (12 seconds)</t>
  </si>
  <si>
    <t>****</t>
  </si>
  <si>
    <t>A161</t>
  </si>
  <si>
    <t>Feedback: Not much discomfort. Low Ratings</t>
  </si>
  <si>
    <t>CCTV time is 12-13 seconds early; CCTV time: 14:31:39, GCR filled at 14:31:51
Posture change (lifting back off) at CCTV time 15:55:04, Tekscan time 3:55:17pm (13 sec)</t>
  </si>
  <si>
    <t>GCR &amp; Tekscan time not in-line (probably due to laptop system time lag)</t>
  </si>
  <si>
    <t>A162</t>
  </si>
  <si>
    <t>Feedback: Subject said low rating. Mainly heat discomfort at the beginning. Afterwards, subject got used to it, so no discomfort</t>
  </si>
  <si>
    <t>CCTV time is 13 seconds early; CCTV time: 17:00:26, GCR filled at 17:00:39
Movement at CCTV time 18:17:50, Tekscan time 6:18:04 PM</t>
  </si>
  <si>
    <t>A163</t>
  </si>
  <si>
    <t>2.59pm</t>
  </si>
  <si>
    <t>Recorded pressure seems to be higher than supposed to be</t>
  </si>
  <si>
    <t>3.12pm: Inform Subject not to touch screen</t>
  </si>
  <si>
    <t>CCTV time is 18-19 seconds early; CCTV time: 14:58:41, GCR filled at 14:58:59
Stood up for break at CCTV time 14:58:59, Tekscan time 2:59:25 (CCTV 25-26 seconds earlier than Tekscan)
Posture change (right leg lifted) at CCTV time 14:21:31, Tekscan time 2:21:56PM (25 seconds)</t>
  </si>
  <si>
    <t>A164</t>
  </si>
  <si>
    <t>7.12pm</t>
  </si>
  <si>
    <t>4.10pm: Adjust Pressure Mat (Seat)
6.51pm: Adjust Pressure Mat (Seat)</t>
  </si>
  <si>
    <t>5.13pm: Pass Subject Phone Cable &amp; Water</t>
  </si>
  <si>
    <t>CCTV time is 18-19 seconds early; CCTV time: 14:59:40, GCR filled at 14:59:58
Adjust mat at CCTV time: 18:52:32, Tekscan time 6:52:51PM (19 seconds)</t>
  </si>
  <si>
    <t>A165</t>
  </si>
  <si>
    <t>2.39pm: Subject Fell Asleep. Woke them up
3.44pm: Subject Fell Asleeep. Woke them up.
5.17pm: Subject using phone
Feedback: The only "2" was due to sitting sideways (to ensure right leg touches the footwell). Otherwise, no discomfort</t>
  </si>
  <si>
    <t>CCTV time is 18-19 seconds early; CCTV time: 14:57:49, GCR filled at 14:58:07
Movement at CCTV time: 17:45:47, Tekscan time 5:46:05PM (18-19 seconds)</t>
  </si>
  <si>
    <t>A166</t>
  </si>
  <si>
    <t>Recorded pressure seems to be lower than supposed to be</t>
  </si>
  <si>
    <t>4.55pm: Participant trying to pick something up</t>
  </si>
  <si>
    <t>CCTV time is 8-9 seconds early; CCTV time: 14:38:35, GCR filled at 14:38:44 Posture change at CCTV time 15:50:40, Tekscan time 3:50:49PM
Posture change at CCTV time 17:33:54, Tekscan time 5:34:03PM (9 sec)</t>
  </si>
  <si>
    <t>A167</t>
  </si>
  <si>
    <t>6.49pm - 6.50:30pm: Touching Screen (No ICM)</t>
  </si>
  <si>
    <t xml:space="preserve">CCTV time is 8-9 seconds early; CCTV time: 14:38:25, GCR filled at 14:38:33 
Got up to go for break at CCTV time 14:38:51, Tekscan time 2:39:02PM (CCTV 11 seconds earlier)
Posture change at CCTV time 16:05:21, Tekscan time 4:05:32PM (11 seconds)
</t>
  </si>
  <si>
    <t>A168</t>
  </si>
  <si>
    <t>6.31pm</t>
  </si>
  <si>
    <t>3.25pm: 2D_R Disconnected
3.45pm: 2D_R Disconnected
4.55pm: 2D_R Disconnected</t>
  </si>
  <si>
    <t xml:space="preserve">CCTV time is 11 seconds early; CCTV time: 14:19:47, GCR filled at 14:19:58
Major movement at CCTV time 13:38:10, Tekscan time 1:38:21PM
</t>
  </si>
  <si>
    <t>A169</t>
  </si>
  <si>
    <t>1:01:30pm: Talk to Researcher
6:41:30pm - Talk to Researcher</t>
  </si>
  <si>
    <t>CCTV time is 11 seconds early; CCTV time: 16:54:47, GCR filled at 16:54:58
Posture change (lifts butt off) at CCTV time 13:40:14, Tekscan time 1:40:25PM
Posture change (crosses left leg) at CCTV time 15:10:54, Tekscan time 3:11:06PM (11-12seconds)</t>
  </si>
  <si>
    <t>A170</t>
  </si>
  <si>
    <t>5.34pm: 3D_R Disconnected</t>
  </si>
  <si>
    <t>1st 2 hours seat angle around 23, last 4 hours seat angle around 19</t>
  </si>
  <si>
    <t xml:space="preserve">CCTV time is 11 seconds early; CCTV time: 15:00:06, GCR filled at 15:00:17
Major movement at CCTV time 16:33:38, Tekscan time 4:33:48PM
</t>
  </si>
  <si>
    <t>A171</t>
  </si>
  <si>
    <t>Feedback: Did not feel much discomfort</t>
  </si>
  <si>
    <t>CCTV time is 11 seconds early; CCTV time: 14:48:40, GCR filled at 14:48:51
Got up to go for break at CCTV time 14:49:02, Tekscan time 2:49:18PM (CCTV 16 seconds earlier than Tekscan)
Posture change (pressing on mat with hands) at CCTV time 17:43:55, Tekscan time 5:44:10PM (15 seconds)</t>
  </si>
  <si>
    <t>A172</t>
  </si>
  <si>
    <t>1.00pm: Fell Asleep. Woke them up
2.02pm - 2.04pm: Using Phone
3.53pm - 3.56pm: Using Phone</t>
  </si>
  <si>
    <t>CCTV time is in-line with GCR &amp; Tekscan; 
Change of posture at CCTV time 13:48:12 , Tekscan time 1:48:12PM</t>
  </si>
  <si>
    <t>A173</t>
  </si>
  <si>
    <t>4.32pm</t>
  </si>
  <si>
    <t>12.40pm - 12.42pm: Keyboard Disconnected. Talk to Researcher
2.00pm - 2.01pm: Keyboard Disconnected. Talk to Researcher
2.54pm: Duplicate Entry for GCR</t>
  </si>
  <si>
    <t>CCTV time is in-line with GCR but NOT Tekscan; 
Got up to go for break at CCTV time 14:21:55, Tekscan time 2:22:06PM (11 seconds)
Change of posture at CCTV time 13:59:57, Tekscan time 2:00:08PM (11 seconds)</t>
  </si>
  <si>
    <t>A174</t>
  </si>
  <si>
    <t>12.51pm - 12.52pm: Talk to Researcher
2.15pm - 2.16pm: Talk to Researcher
5.15pm - 5.16pm: Disable 3F Notification
6.35.40pm: Talk to Researcher</t>
  </si>
  <si>
    <t>CCTV time is in-line with GCR but NOT Tekscan; 
Got up to go for break at CCTV time 14:29:46, Tekscan time 2:29:54PM (8 seconds)
Posture change at CCTV time 13:44:22, Tekscan time 1:44:29PM (7 seconds) 
Posture change at CCTV time18:01:44, Tekscan time 6:01:52PM (8 seconds)</t>
  </si>
  <si>
    <t>A175</t>
  </si>
  <si>
    <t>CCTV time is 16 seconds early; CCTV time 14:46:12, GCR filled at 14:46:28
Got up to go for break at CCTV time 14:46:27, Tekscan time 2:46:46PM (19 seconds)
Posture change at CCTV time 15:18:47, Tekscan time 3:19:06PM (19 seconds), 15:54:36 CCTV / 3:54:55PM Tekscan</t>
  </si>
  <si>
    <t>A176</t>
  </si>
  <si>
    <t>1.10pm</t>
  </si>
  <si>
    <t>Feedback: Generally No Discomfort; Satisfied with the legroom</t>
  </si>
  <si>
    <t>CCTV time is in-line with GCR &amp; Tekscan; 
Change of posture (lifts butt off) at CCTV time 17:41:17, Tekscan time 5:41:17PM</t>
  </si>
  <si>
    <t>A177</t>
  </si>
  <si>
    <t>5.30pm: 3D_L Disconnected</t>
  </si>
  <si>
    <t>1.50pm, 2.54pm: Participant Fell Asleep
4.20pm: Movement to pick up dropped item
Feedback: Not much discomfort overall</t>
  </si>
  <si>
    <t>CCTV time is in-line with GCR but NOT Tekscan; Got up to go for break at CCTV time 14:56:32, Tekscan time 2:56:46PM (14 seconds)
Posture change at CCTV time 15:56:28, Tekscan time 3:56:42PM (14 seconds)</t>
  </si>
  <si>
    <t>A178</t>
  </si>
  <si>
    <t>12.56pm, 5.42pm: 3F_R Disconnected
6.03pm: Both Disconnected</t>
  </si>
  <si>
    <t xml:space="preserve">CCTV time is in-line with GCR (1 second) but NOT Tekscan;
Lifts butt off at CCTV time 14:28:22, Tekscan time 2:28:30PM (8 seconds off)
Got up to go for break at CCTV time 14:30:03, Teksan time 2:30:11PM (8 seconds) </t>
  </si>
  <si>
    <t>A179</t>
  </si>
  <si>
    <t xml:space="preserve">1.10pm: Lean Forward to grab blanket from bag
1.31pm: Fell Asleep &amp; 1 min late for 1.30pm GCR Rating
Up to 2.12pm: Activity (Writing). Lots of Unncessary Movement
5.58.20pm - 5.59.20pm: Take out something from bag
</t>
  </si>
  <si>
    <t>CCTV time is 12-13 seconds early; CCTV time 14:50:34, GCR filled at 14:50:47
Got up to go for break at CCTV time 14:50:58, Tekscan time 2:51:14PM (14 seconds)</t>
  </si>
  <si>
    <t>A180</t>
  </si>
  <si>
    <t>12:58pm - talk to researcher; 2:18pm - fell asleep and woken up</t>
  </si>
  <si>
    <t>CCTV time is in-line with GCR and Tekscan; Got up to go for break at CCTV time 14:38:30, Tekscan time 2:38:30PM
Posture change at CCTV time 16:24:15, Tekscan time 4:24:15PM</t>
  </si>
  <si>
    <t>A181</t>
  </si>
  <si>
    <t>1.35pm: Subject Fell Asleep. Woke them up
2.12pm: Subject dozing off
Subject sleeping for most of the study. Had to regularly wake them up to fill in GCR Rating</t>
  </si>
  <si>
    <t>CCTV time is 12 seconds early; CCTV time 14:54:46, GCR filled at 14:54:58
Got up to go for break at CCTV time 14:55:30, Tekscan time 14:55:52PM (22 seconds)
Put hand on the mat at CCTV time 14:15:13, Tekscan time 2:15:34PM (21 seconds)</t>
  </si>
  <si>
    <t>A182</t>
  </si>
  <si>
    <t>CCTV time is 5 seconds early; CCTV time 14:47:10, GCR filled at 14:47:15
Got up to go for break at CCTV time 14:47:35, Tekscan time 2:47:40PM (5 seconds)</t>
  </si>
  <si>
    <t>A183</t>
  </si>
  <si>
    <t>12.10pm</t>
  </si>
  <si>
    <t>4.19pm</t>
  </si>
  <si>
    <t>6.25pm</t>
  </si>
  <si>
    <t>Participant mention that footwell &amp; seat are not aligned. Might cause discomfort, as body must be slanted.
9th Rating is delayed as she missed / timer didn't ring
12.53pm: Phone Ringing
12.57pm: CCTV Disconnected
Feedback: She is unable to stretch her left leg due to the spacing in front of her seat.
GCR Ratings missing the second-wise data</t>
  </si>
  <si>
    <t>CCTV time 14:10:51, GCR filled at 14:10; Got up to go for break at CCTV time 14:11:29, Tekscan time 2:11:35PM (6 seconds)
Posture change at CCTV time 18:08:00, Tekscan time 6:08:05PM (5 seconds)</t>
  </si>
  <si>
    <t>A184</t>
  </si>
  <si>
    <t>2.12pm</t>
  </si>
  <si>
    <t>12.57pm: CCTV Disconnected</t>
  </si>
  <si>
    <t>CCTV time is 5 seconds early; CCTV time 14:11:50, GCR filled at 14:11:55
Got up to go for break at CCTV time 14:12:26, Tekscan time 2:12:35PM (9 seconds)
Major movement to take snacks (not ICM) at CCTV time 14:21:18, Tekscan time 2:21:27PM (9 seconds)</t>
  </si>
  <si>
    <t>A185</t>
  </si>
  <si>
    <t>6.59:19pm: Tekscan disconnected</t>
  </si>
  <si>
    <t>4.36pm: Talk to Researcher
5.28pm: Disable Notification
Upper Back &amp; Neck (Mostly Upper Back)
No Discomfort on the other areas (2 overall due to neck)</t>
  </si>
  <si>
    <t>CCTV time is 15 seconds early; CCTV time 15:00:52, GCR filled at 15:01:07
Got up to go for break at CCTV time 15:01:12, Tekscan time 3:01:33PM (21 seconds)
Lifting left leg to adjust motion sensor at CCTV time 15:28:13, Tekscan time 3:28:34 (21 seconds)</t>
  </si>
  <si>
    <t>A186</t>
  </si>
  <si>
    <t>5.04pm: CCTV Disconnected on 2F Computer
5.11pm: CCTV Resume on 2D Computer
Lower Limb (Slightly numb/tingling) but still 2?</t>
  </si>
  <si>
    <t>CCTV time is 18 seconds early; CCTV time 14:26:41, GCR filled at 14:26:59
Got up to go for break at CCTV time 14:27:24, Tekscan time 2:27:50PM (26 seconds)
Lifts left leg up at CCTV time 15:21:11, Tekscan time 3:21:36PM (25 seconds)</t>
  </si>
  <si>
    <t>A187</t>
  </si>
  <si>
    <t>5.04pm: CCTV Disconnected on 2F Computer
5.11pm: CCTV Resume on 2D Computer
Not much discomfort overall</t>
  </si>
  <si>
    <t>CCTV time is 18 seconds early; CCTV time 14:31:35, GCR filled at 14:31:53; Got up to go for break at CCTV time 14:32:04, Tekscan time 2:32:27PM (23 seconds)
Posture change at CCTV time 15:39:45, Tekscan time 3:40:08PM (23 seconds)</t>
  </si>
  <si>
    <t>A188</t>
  </si>
  <si>
    <t>1.37pm: 3F_R Disconnected
2.18pm: Subject Crossing legs, causing 3F_R Disconnected</t>
  </si>
  <si>
    <t>Subject Lean Forward when filling in Rating each time
3.04pm: Talk to Researcher
5.04pm: CCTV Disconnected on 3F Computer
5.11pm: CCTV Resume on 2D Computer</t>
  </si>
  <si>
    <t>CCTV time is 18 seconds early; CCTV time 14:37:45, GCR filled at 14:38:03 
Got up to go for break at CCTV time 14:38:00, Tekscan time 2:38:23 (23 seconds), came back at CCTV time 14:42:02, Tekscan time 2:42:25PM (23s)</t>
  </si>
  <si>
    <t>A189</t>
  </si>
  <si>
    <t>1.55pm - 1.56pm: CCTV Disconnected
Lower Back &amp; Buttocks</t>
  </si>
  <si>
    <t>CCTV time is 43 seconds early; CCTV time 14:26:10, GCR filled at 14:26:53; Got up to go for break at CCTV time 14:26:36, Tekscan time 14:27:27PM (51 seconds); 2nd Break CCTV time 16:33:39, Tekscan time 4:34:30PM (51 seconds) Posture shift at CCTV time 18:06:57, Tekscan time 6:07:49 (54 seconds difference)</t>
  </si>
  <si>
    <t>A190</t>
  </si>
  <si>
    <t>1.55pm - 1.56pm: CCTV Disconnected
12:46:04pm: Pushed Backrest &amp; gradually (change in seat angle)
6.49.30pm: Movements to talk to researcher
Using Phone towards the end
Mentioned that selected seat angle was wrong for him. Felt Better sitting upright</t>
  </si>
  <si>
    <t>CCTV time is 42-43 seconds early; CCTV time 14:40:47, GCR filled at 14:41:29
Got up to go for break at CCTV time 14:41:28, Tekscan time 2:42:15PM (47 seconds)
Weight shift to the left at CCTV time 16:07:23, Tekscan time 4:08:10PM (47 seconds)</t>
  </si>
  <si>
    <t>A191</t>
  </si>
  <si>
    <t>2.35pm: Adjust Motion Sensors</t>
  </si>
  <si>
    <t>6.29pm: Computer Crashed. Tekscan Data Loss. Restarted Tekscan</t>
  </si>
  <si>
    <t>1.55pm - 1.56pm: CCTV Disconnected
6.31pm: Restart CCTV Footage on 2D Computer</t>
  </si>
  <si>
    <t xml:space="preserve">CCTV time is 42-43 seconds early; CCTV time 14:29:57, GCR filled at 14:30:39; </t>
  </si>
  <si>
    <t>A192</t>
  </si>
  <si>
    <t>Participant mentioned that he felt some discomfort on buttocks</t>
  </si>
  <si>
    <t>CCTV time is 11 seconds early; CCTV time 14:39:37, GCR filled at 14:39:48 
Got up to go for break at CCTV time 14:40:01, Tekscan time 2:40:12PM (11 seconds)</t>
  </si>
  <si>
    <t>A193</t>
  </si>
  <si>
    <t>6.50pm: CCTV Stopped -&gt; To Download
Overall Comfortable; Shifted around seat to relieve discomfort (when asked about ratings "2"s that became "1"s)</t>
  </si>
  <si>
    <t>CCTV time is 9 seconds early; CCTV time 14:45:34, GCR filled at 14:45:43; 
Got up to go for break at CCTV time 14:46:51, Tekscan time 2:46:08PM (17 seconds)
Posture change at CCTV time 14:19:13, Tekscan time 2:29:29PM (16 seconds)</t>
  </si>
  <si>
    <t>A194</t>
  </si>
  <si>
    <t>CCTV time is 13 seconds early; CCTV time 14:28:15, GCR filled at 14:28:28; 
Got up to go for break at CCTV time 14:28:43, Tekscan time 2:29:06PM (23 seconds)
Posture change at CCTV time 15:26:08, Tekscan time 3:26:31PM (23 seconds)</t>
  </si>
  <si>
    <t>A195</t>
  </si>
  <si>
    <t>CCTV time is 13 seconds early; CCTV time 14:20:43, GCR filled at 14:20:56; Got up to go for break at CCTV time 14:20:58, Tekscan time 2:21:11PM (13 seconds)</t>
  </si>
  <si>
    <t>A196</t>
  </si>
  <si>
    <t>CCTV time is 12-13 seconds early; CCTV time 14:52:18, GCR filled at 14:52:30; Got up to go for break at CCTV time 14:52:46, Tekscan time 2:53:06PM (20 seconds); Posture change at CCTV time 15:49:13, Tekscan time 3:49:33PM (20 seconds)</t>
  </si>
  <si>
    <t>A197</t>
  </si>
  <si>
    <t>1.15pm</t>
  </si>
  <si>
    <t>7.28pm</t>
  </si>
  <si>
    <t>CCTV time re-synced at 17:00:15 -&gt; 17:00:35</t>
  </si>
  <si>
    <t>CCTV time is 19 seconds early; CCTV time 15:15:48, GCR filled at 15:16:07; Got up to go for break at CCTV time 15:16:04, Tekscan time 3:16:24PM (20 sec)
After 17:00:35 on CCTV, Tekscan late by 1 second</t>
  </si>
  <si>
    <t>A198</t>
  </si>
  <si>
    <t>1.50pm: Subject lean forward to touch tablet
4.19pm:  Subject lean forward to use phone
4.48.30pm:  Subject lean forward to pick up phone from floor
5.01pm: Refresh CCTV Time
Around 7.08pm - 7:12:38pm: Subject Praying</t>
  </si>
  <si>
    <t>CCTV time is 19 seconds early; CCTV time 15:11:46, GCR filled at 15:12:05; Got up to go for break at CCTV time 15:11:58, Tekscan time 3:12:18 (20 seconds)</t>
  </si>
  <si>
    <t>A199</t>
  </si>
  <si>
    <t>7.22pm</t>
  </si>
  <si>
    <t>2.09pm: 3D_L Disconnected</t>
  </si>
  <si>
    <t>4.55:10pm: Subject lean forward
Check CCTV to see when subject uses phone</t>
  </si>
  <si>
    <t>CCTV time is 19 seconds early; CCTV time 15:09:24, GCR filled at 15:09:43; Got up to go for break at CCTV time 15:09:57, Tekscan time 3:10:24PM (27 seconds)</t>
  </si>
  <si>
    <t>A200</t>
  </si>
  <si>
    <t>12.24.20pm: talk to researcher, 4.56.36-4.58pm: talk to researcher</t>
  </si>
  <si>
    <t>CCTV time is 5 seconds early; CCTV time 14:24:09, GCR filled at 14:24:14; Got up to go for break at CCTV time 14:24:23, Tekscan time 2:24:24PM (1 second); Posture change at CCTV time 17:17:32, Tekscan time 5:17:33PM (1 second delay)</t>
  </si>
  <si>
    <t>A201</t>
  </si>
  <si>
    <t>17.11.20 - 17.11.50: talk to researcher</t>
  </si>
  <si>
    <t>CCTV time is 1 second early; CCTV time 14:37:37, GCR filled at 14:37:38</t>
  </si>
  <si>
    <t>A202</t>
  </si>
  <si>
    <t xml:space="preserve">4.58pm: 2D_L disconnected </t>
  </si>
  <si>
    <t>CCTV time is in-line with GCR time; Got up to go for break at CCTV time 15:12:02, Tekscan time 3:12:03PM (1 second)</t>
  </si>
  <si>
    <t>A203</t>
  </si>
  <si>
    <t xml:space="preserve">study started at 12:35:55pm. 12.37.44pm: take water bottle; 12.48pm &amp; 2.16.30 - 2.17pm &amp; 2.53pm &amp; 4.22pm &amp; 5.45pm &amp; 6.25.40pm: talk to researcher
1.16pm: Extra GCR entry
2.34pm: subject left seat; 3.18pm: wearing jacket </t>
  </si>
  <si>
    <t xml:space="preserve">CCTV time in-line with GCR time; Got up to go for break at CCTV time 14:35:41, Tekscan time 2:35:42PM (1 second) </t>
  </si>
  <si>
    <t>A204</t>
  </si>
  <si>
    <t>CCTV time in-line with GCR time; Got up to go for break at CCTV time 14:26:54, Tekscan time 2:26:55PM (1 second)</t>
  </si>
  <si>
    <t>A205</t>
  </si>
  <si>
    <t>2:38pm &amp; 3:09pm &amp; 4:47pm &amp; 5:33pm - talk to researcher</t>
  </si>
  <si>
    <t>CCTV time in-line with GCR time</t>
  </si>
  <si>
    <t>A206</t>
  </si>
  <si>
    <t>12:55pm - talk to researcher</t>
  </si>
  <si>
    <t>CCTV time in-line with GCR time &amp; Tekscan time</t>
  </si>
  <si>
    <t>A207</t>
  </si>
  <si>
    <t>6.45pm - talk to researcher</t>
  </si>
  <si>
    <t>CCTV time is 1 second early; CCTV time 14:53:03, GCR filled at 14:53:02; Got up to go for break at CCTV time 14:53:25, Tekscan time 2:53:25PM (aligned)</t>
  </si>
  <si>
    <t>A208</t>
  </si>
  <si>
    <t>~12:30:55pm - talk to researcher</t>
  </si>
  <si>
    <t>CCTV time is 1 second early; CCTV time 14:28:34, GCR filled at 14:28:35; Got up to go for break at CCTV time 14:28:58, Tekscan time 2:29:01PM (3 seconds)</t>
  </si>
  <si>
    <t>A209</t>
  </si>
  <si>
    <t>4:26pm - fell asleep, woke up; 6:47pm - talk to researcher</t>
  </si>
  <si>
    <t>CCTV time is 1 second early; CCTV time 14:39:47, GCR filled at 14:39:48; Got up to go for break at CCTV time 14:40:27, Tekscan time 2:40:28PM ( 1 second)</t>
  </si>
  <si>
    <t>A210</t>
  </si>
  <si>
    <t>12:57pm - talk to researcher</t>
  </si>
  <si>
    <t xml:space="preserve">CCTV time is 1 second early; CCTV time 14:17:48, GCR filled at 14:17:49; </t>
  </si>
  <si>
    <t>A211</t>
  </si>
  <si>
    <t>1:22:10pm - adjusting motion sensors</t>
  </si>
  <si>
    <t>CCTV time is 1 second early; CCTV time 14:55:32, GCR filled at 14:55:33; Got up to go for break at CCTV time 14:55:44, Tekscan time 2:55:43PM (1 second); Posture change at CCTV time 17:45:48, Tekscan time 5:45:47PM (1 second)</t>
  </si>
  <si>
    <t>A212</t>
  </si>
  <si>
    <t>1:52:13pm - taking water bottle; 4:39:25pm - eating &amp; turning; 4:43:38pm - turning to check phone
Feedback: buttocks felt sore due to the cushion (is the rating still "2"?)</t>
  </si>
  <si>
    <t>APAT</t>
  </si>
  <si>
    <t>Subject code</t>
  </si>
  <si>
    <t>Selected</t>
  </si>
  <si>
    <t>Please enter your name.</t>
  </si>
  <si>
    <t>Sex:</t>
  </si>
  <si>
    <t>Height (in cm):</t>
  </si>
  <si>
    <t>Weight (in kg):</t>
  </si>
  <si>
    <t>Age (in years):</t>
  </si>
  <si>
    <t>Nationality:</t>
  </si>
  <si>
    <t>Ethnicity</t>
  </si>
  <si>
    <t>Where did you hear about the study?</t>
  </si>
  <si>
    <t>Are you currently feeling any muscle fatigue or soreness at any regions of your body?</t>
  </si>
  <si>
    <t>If Yes, which body region?</t>
  </si>
  <si>
    <t>Have you travelled across more than 1 time zone in the last 3 weeks?</t>
  </si>
  <si>
    <t>If yes, where to?</t>
  </si>
  <si>
    <t>How many flights have you taken in the past year?</t>
  </si>
  <si>
    <t>In your previous flights, which class did you most frequently travel in?</t>
  </si>
  <si>
    <t>Have you ever taken a Business Class flight before?</t>
  </si>
  <si>
    <t>How many years have you been flying SIA Business Class on a regular basis?</t>
  </si>
  <si>
    <t>How many Business Class flights have you taken in the past 6 months?</t>
  </si>
  <si>
    <t>When was your most recent SIA Business Class flight? (strictly SIA)</t>
  </si>
  <si>
    <t>When was your most recent non-SIA Business Class flight?</t>
  </si>
  <si>
    <t>How frequently do you take long-haul (6-12 hours) or ultra-long-haul (more than 12 hours) flights a year?</t>
  </si>
  <si>
    <t>In your most recent flight, did you feel discomfort at any point during the flight?</t>
  </si>
  <si>
    <t>If Yes, what do you think was the main cause of discomfort?</t>
  </si>
  <si>
    <t>What is your typical daily duration of sitting? (i.e., At work or at home)</t>
  </si>
  <si>
    <t>Do you often experience discomfort while sitting for an extended period?</t>
  </si>
  <si>
    <t>Ng Guat Ping</t>
  </si>
  <si>
    <t>Guat Ping Ng</t>
  </si>
  <si>
    <t>161</t>
  </si>
  <si>
    <t>70</t>
  </si>
  <si>
    <t>Singapore Citizen</t>
  </si>
  <si>
    <t>Chinese</t>
  </si>
  <si>
    <t>Word of mouth</t>
  </si>
  <si>
    <t>No</t>
  </si>
  <si>
    <t/>
  </si>
  <si>
    <t>1 to 5</t>
  </si>
  <si>
    <t>Economy Class</t>
  </si>
  <si>
    <t>15</t>
  </si>
  <si>
    <t>0</t>
  </si>
  <si>
    <t>6 to 9 hours</t>
  </si>
  <si>
    <t>Viknesvaran Selvarajan</t>
  </si>
  <si>
    <t>178</t>
  </si>
  <si>
    <t>73</t>
  </si>
  <si>
    <t>Malaysian</t>
  </si>
  <si>
    <t>Indian</t>
  </si>
  <si>
    <t>Telegram</t>
  </si>
  <si>
    <t>3 to 6 hours</t>
  </si>
  <si>
    <t>Umathevy Janarthanan</t>
  </si>
  <si>
    <t>156</t>
  </si>
  <si>
    <t>60</t>
  </si>
  <si>
    <t>KANG POH SENG</t>
  </si>
  <si>
    <t>162</t>
  </si>
  <si>
    <t>Singapore</t>
  </si>
  <si>
    <t>Friend</t>
  </si>
  <si>
    <t>Fiona Loke</t>
  </si>
  <si>
    <t>Loke Yean Nee Fiona</t>
  </si>
  <si>
    <t>157</t>
  </si>
  <si>
    <t>75</t>
  </si>
  <si>
    <t>Singaporean</t>
  </si>
  <si>
    <t>My Dad</t>
  </si>
  <si>
    <t>6 to 15</t>
  </si>
  <si>
    <t xml:space="preserve">Seat cushion and lowering of the seat </t>
  </si>
  <si>
    <t>0 to 3 hours</t>
  </si>
  <si>
    <t>Alyn Wong</t>
  </si>
  <si>
    <t>160</t>
  </si>
  <si>
    <t>45</t>
  </si>
  <si>
    <t>Toh Ee Wen Kelvin</t>
  </si>
  <si>
    <t>108</t>
  </si>
  <si>
    <t>More than 9 hours</t>
  </si>
  <si>
    <t>Eugene Chen</t>
  </si>
  <si>
    <t>Ng Choon Bee</t>
  </si>
  <si>
    <t>Family</t>
  </si>
  <si>
    <t>O</t>
  </si>
  <si>
    <t>Inability to sleep well</t>
  </si>
  <si>
    <t>CHOW KIT YEE</t>
  </si>
  <si>
    <t>CHOW KIT YEE </t>
  </si>
  <si>
    <t>Singaporean </t>
  </si>
  <si>
    <t>Friend </t>
  </si>
  <si>
    <t>Space constraint </t>
  </si>
  <si>
    <t>John Lim</t>
  </si>
  <si>
    <t>edm</t>
  </si>
  <si>
    <t>Ng Beng See</t>
  </si>
  <si>
    <t>friend</t>
  </si>
  <si>
    <t>seated too long, narrow seat</t>
  </si>
  <si>
    <t>YAP SIEW LING ROSALIND</t>
  </si>
  <si>
    <t>Yap Siew Ling Rosalind</t>
  </si>
  <si>
    <t>Cabin temperature is warm. Seating discomfort near end of flight.</t>
  </si>
  <si>
    <t>Tan Hui Soon</t>
  </si>
  <si>
    <t>Tan hui soon</t>
  </si>
  <si>
    <t xml:space="preserve">Singaporean </t>
  </si>
  <si>
    <t>Tight leg space and seat, turbulence, dry air</t>
  </si>
  <si>
    <t>NORFARTINA ABDUL HAMID</t>
  </si>
  <si>
    <t>NORFARTINA BINTE ABDUL HAMID</t>
  </si>
  <si>
    <t>SINGAPOREAN</t>
  </si>
  <si>
    <t>Malay</t>
  </si>
  <si>
    <t>A FRIEND SHARE IT FROM TELEGRAM</t>
  </si>
  <si>
    <t>Yee Hsien Ta</t>
  </si>
  <si>
    <t>Jason Yee</t>
  </si>
  <si>
    <t>From friends</t>
  </si>
  <si>
    <t>Premium Economy Class</t>
  </si>
  <si>
    <t>Yvonne Lim</t>
  </si>
  <si>
    <t>Yvonne Kek</t>
  </si>
  <si>
    <t xml:space="preserve">Davis Sim Kok Hiang </t>
  </si>
  <si>
    <t>Davis Sim Kok Hiang </t>
  </si>
  <si>
    <t>telegram </t>
  </si>
  <si>
    <t>More than 6 months ago</t>
  </si>
  <si>
    <t>overnight flight and seat size. </t>
  </si>
  <si>
    <t>Chua Chek Meng</t>
  </si>
  <si>
    <t>Eddie Chua</t>
  </si>
  <si>
    <t>Friends </t>
  </si>
  <si>
    <t>Stay in the seat for long hours</t>
  </si>
  <si>
    <t>ong bee yong</t>
  </si>
  <si>
    <t>Ong Bee Yong</t>
  </si>
  <si>
    <t>Nil</t>
  </si>
  <si>
    <t>The back of the seat causes back aches - not comfortable, n the size of the seat. </t>
  </si>
  <si>
    <t>Koay siew hoon</t>
  </si>
  <si>
    <t>Sandy</t>
  </si>
  <si>
    <t>From friend</t>
  </si>
  <si>
    <t>Cheng Zhe</t>
  </si>
  <si>
    <t>Hartaty Widjaja</t>
  </si>
  <si>
    <t xml:space="preserve">Hartaty Widjaja </t>
  </si>
  <si>
    <t xml:space="preserve">Indonesian </t>
  </si>
  <si>
    <t xml:space="preserve">Friend </t>
  </si>
  <si>
    <t>No comfortable place to rest my head</t>
  </si>
  <si>
    <t>Adeline Heng</t>
  </si>
  <si>
    <t>A friend</t>
  </si>
  <si>
    <t>Right Shoulder</t>
  </si>
  <si>
    <t>Once only</t>
  </si>
  <si>
    <t>Mark Chen</t>
  </si>
  <si>
    <t>Sgrean</t>
  </si>
  <si>
    <t>From a friend</t>
  </si>
  <si>
    <t>Leg soreness</t>
  </si>
  <si>
    <t>Seow cherng jye </t>
  </si>
  <si>
    <t xml:space="preserve">Seow Cherng jye </t>
  </si>
  <si>
    <t xml:space="preserve">From friend </t>
  </si>
  <si>
    <t xml:space="preserve">Back and neck stiffness </t>
  </si>
  <si>
    <t>Valerie Eng Li Huay</t>
  </si>
  <si>
    <t>More than 15</t>
  </si>
  <si>
    <t>Peh Ai Ling Irene</t>
  </si>
  <si>
    <t>Hoong Suet Lee</t>
  </si>
  <si>
    <t>Claire Teo</t>
  </si>
  <si>
    <t xml:space="preserve">SINGAPOREAN </t>
  </si>
  <si>
    <t xml:space="preserve">Telegram </t>
  </si>
  <si>
    <t xml:space="preserve">Uncomfortable due to restricted chair position </t>
  </si>
  <si>
    <t>Ng Siew Hwa</t>
  </si>
  <si>
    <t>Susanna Lam</t>
  </si>
  <si>
    <t>Business Class</t>
  </si>
  <si>
    <t>3 years</t>
  </si>
  <si>
    <t>Lee Kian Wee</t>
  </si>
  <si>
    <t>Frances Koo</t>
  </si>
  <si>
    <t>Frances  Koo</t>
  </si>
  <si>
    <t xml:space="preserve">The seat </t>
  </si>
  <si>
    <t>Soeapi Soelaiman</t>
  </si>
  <si>
    <t>Indonesian</t>
  </si>
  <si>
    <t xml:space="preserve">Friends </t>
  </si>
  <si>
    <t>Seat and leg space</t>
  </si>
  <si>
    <t>Ho Cheun Yin</t>
  </si>
  <si>
    <t>HO CHEUN YIN</t>
  </si>
  <si>
    <t>From my wife</t>
  </si>
  <si>
    <t>Tong Sook Yeen</t>
  </si>
  <si>
    <t>Lam Woon Chin</t>
  </si>
  <si>
    <t>too heavy</t>
  </si>
  <si>
    <t>Camelia Chng</t>
  </si>
  <si>
    <t>Friends</t>
  </si>
  <si>
    <t>Sitting in one position for too long.</t>
  </si>
  <si>
    <t>Chan Nang Heong</t>
  </si>
  <si>
    <t>CHAN NANG HEONG</t>
  </si>
  <si>
    <t>Sibling</t>
  </si>
  <si>
    <t>Tiang Kear Hwee</t>
  </si>
  <si>
    <t>Tiang kear hwee</t>
  </si>
  <si>
    <t>Singapore citizen</t>
  </si>
  <si>
    <t>Lim Kia Hwee Joanne </t>
  </si>
  <si>
    <t xml:space="preserve">Lim Kia Hwee Joanne </t>
  </si>
  <si>
    <t>Raymond Ng Kim Yong</t>
  </si>
  <si>
    <t>Pauline Yue </t>
  </si>
  <si>
    <t xml:space="preserve">Yue Yuet Ying Pauline </t>
  </si>
  <si>
    <t>Wong Mai Ling</t>
  </si>
  <si>
    <t>155</t>
  </si>
  <si>
    <t>Boey Kok Kuen</t>
  </si>
  <si>
    <t xml:space="preserve">166 </t>
  </si>
  <si>
    <t xml:space="preserve">67.5 </t>
  </si>
  <si>
    <t>NA</t>
  </si>
  <si>
    <t>HUI CHI WAI</t>
  </si>
  <si>
    <t>Hui Chi Wai</t>
  </si>
  <si>
    <t>171</t>
  </si>
  <si>
    <t>Steven Teo</t>
  </si>
  <si>
    <t>170</t>
  </si>
  <si>
    <t>63</t>
  </si>
  <si>
    <t>Lack of movement</t>
  </si>
  <si>
    <t>Velayutham Karumanan</t>
  </si>
  <si>
    <t>Velaytham s/o Karumanan</t>
  </si>
  <si>
    <t>172</t>
  </si>
  <si>
    <t>64</t>
  </si>
  <si>
    <t>Lim Kiew Hong</t>
  </si>
  <si>
    <t>78</t>
  </si>
  <si>
    <t>Fong Kin Fai </t>
  </si>
  <si>
    <t xml:space="preserve">Fong Kin Fai </t>
  </si>
  <si>
    <t>180</t>
  </si>
  <si>
    <t>72</t>
  </si>
  <si>
    <t xml:space="preserve">Uncomfortable and too firm cushion on seat and non adjustable head rest </t>
  </si>
  <si>
    <t>Aris rizki</t>
  </si>
  <si>
    <t xml:space="preserve">Aris </t>
  </si>
  <si>
    <t>Personal space when seated</t>
  </si>
  <si>
    <t>Sallihin Othman</t>
  </si>
  <si>
    <t xml:space="preserve">Sallihin Othman </t>
  </si>
  <si>
    <t>168</t>
  </si>
  <si>
    <t>74</t>
  </si>
  <si>
    <t>My body posture</t>
  </si>
  <si>
    <t>Tommy Tan</t>
  </si>
  <si>
    <t xml:space="preserve">Tommy Tan </t>
  </si>
  <si>
    <t>173</t>
  </si>
  <si>
    <t>68</t>
  </si>
  <si>
    <t>Research Lobang</t>
  </si>
  <si>
    <t>Seat has not enough cushion and not enough room.</t>
  </si>
  <si>
    <t>Shin</t>
  </si>
  <si>
    <t>76</t>
  </si>
  <si>
    <t>Suzana</t>
  </si>
  <si>
    <t>Suzana Abdul</t>
  </si>
  <si>
    <t>94</t>
  </si>
  <si>
    <t>1</t>
  </si>
  <si>
    <t>Leong Tze Meng</t>
  </si>
  <si>
    <t>Larry Leong</t>
  </si>
  <si>
    <t>163</t>
  </si>
  <si>
    <t>52</t>
  </si>
  <si>
    <t>Social media</t>
  </si>
  <si>
    <t>Toh Boon Kok</t>
  </si>
  <si>
    <t>166</t>
  </si>
  <si>
    <t>3</t>
  </si>
  <si>
    <t>1 to 3 months ago</t>
  </si>
  <si>
    <t>Less than 1 month ago</t>
  </si>
  <si>
    <t>Alvin Teo</t>
  </si>
  <si>
    <t xml:space="preserve">Alvin Teo </t>
  </si>
  <si>
    <t>1.78</t>
  </si>
  <si>
    <t>Sg</t>
  </si>
  <si>
    <t xml:space="preserve">Word of mouth </t>
  </si>
  <si>
    <t>Leg room</t>
  </si>
  <si>
    <t>Lim Sian Meng Edward</t>
  </si>
  <si>
    <t xml:space="preserve">Lim Sian Meng Edward </t>
  </si>
  <si>
    <t xml:space="preserve">From a friend </t>
  </si>
  <si>
    <t>4</t>
  </si>
  <si>
    <t xml:space="preserve">Sitting too long on the backside, numbness as there is no blood circulation. </t>
  </si>
  <si>
    <t>Roger Tan</t>
  </si>
  <si>
    <t xml:space="preserve">Roger Tan </t>
  </si>
  <si>
    <t>Goh KY</t>
  </si>
  <si>
    <t>GOH KY</t>
  </si>
  <si>
    <t>Peer</t>
  </si>
  <si>
    <t>4 to 6 months ago</t>
  </si>
  <si>
    <t>Neo Hwee Hoon</t>
  </si>
  <si>
    <t>Markus Labude</t>
  </si>
  <si>
    <t>185</t>
  </si>
  <si>
    <t>77</t>
  </si>
  <si>
    <t>German</t>
  </si>
  <si>
    <t>Others</t>
  </si>
  <si>
    <t>Gerry Gewi Kwok Wei</t>
  </si>
  <si>
    <t>85</t>
  </si>
  <si>
    <t>Long hours of sitting</t>
  </si>
  <si>
    <t>SEETHA</t>
  </si>
  <si>
    <t>Seetha</t>
  </si>
  <si>
    <t>167</t>
  </si>
  <si>
    <t>Isabel lim</t>
  </si>
  <si>
    <t>Isabel Lim shin ping</t>
  </si>
  <si>
    <t>165</t>
  </si>
  <si>
    <t>56</t>
  </si>
  <si>
    <t>Chow Kit Seen</t>
  </si>
  <si>
    <t>Sister</t>
  </si>
  <si>
    <t>Shoulders</t>
  </si>
  <si>
    <t>Long hours in sitting position</t>
  </si>
  <si>
    <t>Ian Zeng</t>
  </si>
  <si>
    <t>169</t>
  </si>
  <si>
    <t>80</t>
  </si>
  <si>
    <t>seat size</t>
  </si>
  <si>
    <t>Siwa</t>
  </si>
  <si>
    <t>179</t>
  </si>
  <si>
    <t>99.6</t>
  </si>
  <si>
    <t>35</t>
  </si>
  <si>
    <t xml:space="preserve">Elizabeth Li </t>
  </si>
  <si>
    <t>54</t>
  </si>
  <si>
    <t>deng kaile</t>
  </si>
  <si>
    <t>175</t>
  </si>
  <si>
    <t>sg</t>
  </si>
  <si>
    <t>telegram</t>
  </si>
  <si>
    <t>nil</t>
  </si>
  <si>
    <t>seat too small</t>
  </si>
  <si>
    <t>Eileen</t>
  </si>
  <si>
    <t>152</t>
  </si>
  <si>
    <t>P V Anthony</t>
  </si>
  <si>
    <t>Chen Shi Ling Regene</t>
  </si>
  <si>
    <t>66</t>
  </si>
  <si>
    <t>James Chin</t>
  </si>
  <si>
    <t>164</t>
  </si>
  <si>
    <t xml:space="preserve">Eric Wong </t>
  </si>
  <si>
    <t>87</t>
  </si>
  <si>
    <t>5</t>
  </si>
  <si>
    <t>Tay Suat Ling</t>
  </si>
  <si>
    <t>150</t>
  </si>
  <si>
    <t>Wong Ai Hoon Michelle</t>
  </si>
  <si>
    <t xml:space="preserve">Wong Ai Hoon Michelle </t>
  </si>
  <si>
    <t>44</t>
  </si>
  <si>
    <t xml:space="preserve">From my sister </t>
  </si>
  <si>
    <t>Lin Zhiwei</t>
  </si>
  <si>
    <t>55</t>
  </si>
  <si>
    <t>Seat angle and space</t>
  </si>
  <si>
    <t>Lim Cheng Ho</t>
  </si>
  <si>
    <t>65</t>
  </si>
  <si>
    <t>spouse</t>
  </si>
  <si>
    <t xml:space="preserve">Joan ng </t>
  </si>
  <si>
    <t xml:space="preserve">Joan </t>
  </si>
  <si>
    <t>157.5</t>
  </si>
  <si>
    <t>82</t>
  </si>
  <si>
    <t>Tan Eng Chiu</t>
  </si>
  <si>
    <t>Telegram group</t>
  </si>
  <si>
    <t>muscle stiffness from lack of significant movements</t>
  </si>
  <si>
    <t xml:space="preserve">Yvonne Chan </t>
  </si>
  <si>
    <t>Yvonne Chan </t>
  </si>
  <si>
    <t>Ong Bok Hoon</t>
  </si>
  <si>
    <t>From my son</t>
  </si>
  <si>
    <t>Seat's reclination is limited, movement restricted</t>
  </si>
  <si>
    <t>Ng Aik Kai</t>
  </si>
  <si>
    <t>Tan Shiao Hui</t>
  </si>
  <si>
    <t>Lim Angelina</t>
  </si>
  <si>
    <t>Angelina </t>
  </si>
  <si>
    <t>Thru friends</t>
  </si>
  <si>
    <t>Soh Lai Kam</t>
  </si>
  <si>
    <t>OH YEE WEE</t>
  </si>
  <si>
    <t>Tan Li Yen</t>
  </si>
  <si>
    <t>Seating area too small, not enough leg room</t>
  </si>
  <si>
    <t>Emilinda Binte Mohd Yasin</t>
  </si>
  <si>
    <t>Stomach cramp </t>
  </si>
  <si>
    <t>Doris Koh</t>
  </si>
  <si>
    <t>From family</t>
  </si>
  <si>
    <t>Seats</t>
  </si>
  <si>
    <t>Koh Mui Kiap Emdy</t>
  </si>
  <si>
    <t>Singapore citizen </t>
  </si>
  <si>
    <t>Sho Choon Kim</t>
  </si>
  <si>
    <t>1.55m</t>
  </si>
  <si>
    <t>62kg</t>
  </si>
  <si>
    <t>Unable to lie flat</t>
  </si>
  <si>
    <t>Soo Chee Kong</t>
  </si>
  <si>
    <t>Malcolm Soo Chee Kong</t>
  </si>
  <si>
    <t>Back side pain and cannot sleep</t>
  </si>
  <si>
    <t>Mike Lim</t>
  </si>
  <si>
    <t>Lu Suat Lay (Shirley)</t>
  </si>
  <si>
    <t>Singapore Citizen </t>
  </si>
  <si>
    <t>Wong Chui Ling</t>
  </si>
  <si>
    <t>Wong Chui ling Christine</t>
  </si>
  <si>
    <t>Words of mouth</t>
  </si>
  <si>
    <t>Alfred Wong</t>
  </si>
  <si>
    <t>friends</t>
  </si>
  <si>
    <t>feeling the need to walk a bit </t>
  </si>
  <si>
    <t>Tracey Tan</t>
  </si>
  <si>
    <t>Word of mouth </t>
  </si>
  <si>
    <t>Daniel Mezzanotte</t>
  </si>
  <si>
    <t>Daniel</t>
  </si>
  <si>
    <t>USA/Germany</t>
  </si>
  <si>
    <t>Recommended by a friend who did it.</t>
  </si>
  <si>
    <t>Den</t>
  </si>
  <si>
    <t>Denjz Ng</t>
  </si>
  <si>
    <t>From relatives</t>
  </si>
  <si>
    <t>Back</t>
  </si>
  <si>
    <t>Chia Wan Lee Karen</t>
  </si>
  <si>
    <t>Karen Chia</t>
  </si>
  <si>
    <t>Frriends</t>
  </si>
  <si>
    <t>Lok Shih Heng</t>
  </si>
  <si>
    <t>Malaysia </t>
  </si>
  <si>
    <t>Doris Toon</t>
  </si>
  <si>
    <t>Through Friends</t>
  </si>
  <si>
    <t>Stephanie yeow</t>
  </si>
  <si>
    <t>Stephanie </t>
  </si>
  <si>
    <t>Chan Gek Choo</t>
  </si>
  <si>
    <t>Chan Gek Choo (Jane)</t>
  </si>
  <si>
    <t>Upper back</t>
  </si>
  <si>
    <t>10 years</t>
  </si>
  <si>
    <t>Michael Chia </t>
  </si>
  <si>
    <t>Ronnie Lim</t>
  </si>
  <si>
    <t>St. Petersburg </t>
  </si>
  <si>
    <t>CHIA KENG BOON PATRICK</t>
  </si>
  <si>
    <t>From a friend participating in the same research</t>
  </si>
  <si>
    <t>Hoi Lai Meng</t>
  </si>
  <si>
    <t>Seat was a bit cramp and not much leg room space</t>
  </si>
  <si>
    <t>Edmund Chee</t>
  </si>
  <si>
    <t>NUS notice board</t>
  </si>
  <si>
    <t>Legs room</t>
  </si>
  <si>
    <t>Hannah Chan Yoke Kuen</t>
  </si>
  <si>
    <t>Hannah Chan Yoke kuen</t>
  </si>
  <si>
    <t>163 cm</t>
  </si>
  <si>
    <t>64 kg</t>
  </si>
  <si>
    <t>Seat </t>
  </si>
  <si>
    <t>Ong Wah Li</t>
  </si>
  <si>
    <t>Work</t>
  </si>
  <si>
    <t>Shoulder and neck </t>
  </si>
  <si>
    <t>Europe and USA</t>
  </si>
  <si>
    <t>30 years</t>
  </si>
  <si>
    <t>Lack of stretching </t>
  </si>
  <si>
    <t>SQ</t>
  </si>
  <si>
    <t>62</t>
  </si>
  <si>
    <t>SIA</t>
  </si>
  <si>
    <t>The seat</t>
  </si>
  <si>
    <t>Unknown?</t>
  </si>
  <si>
    <t>58</t>
  </si>
  <si>
    <t>Louise Xie</t>
  </si>
  <si>
    <t>Louise</t>
  </si>
  <si>
    <t>Cramped.space</t>
  </si>
  <si>
    <t>Albert Yim</t>
  </si>
  <si>
    <t>Albert yim</t>
  </si>
  <si>
    <t xml:space="preserve">Singapore </t>
  </si>
  <si>
    <t>Lee Kok Hian</t>
  </si>
  <si>
    <t>WEE YIAN SOON</t>
  </si>
  <si>
    <t>Wee Yian Soon</t>
  </si>
  <si>
    <t>Grace Ng Chai Hoon</t>
  </si>
  <si>
    <t>Alfred Chow Peng Hoong </t>
  </si>
  <si>
    <t>Alfred Chow Peng Hoong</t>
  </si>
  <si>
    <t>Sim Choon Keow Hazel</t>
  </si>
  <si>
    <t>Hazel Sim</t>
  </si>
  <si>
    <t>5 ft</t>
  </si>
  <si>
    <t>Sandra Wee </t>
  </si>
  <si>
    <t>Sandra Wee Soo Ling</t>
  </si>
  <si>
    <t>singaporean</t>
  </si>
  <si>
    <t>neck slight to left or right side when sleeping</t>
  </si>
  <si>
    <t>Chong Mee Choo</t>
  </si>
  <si>
    <t>Ma Lay Hwa </t>
  </si>
  <si>
    <t>Ma Lay Hwa</t>
  </si>
  <si>
    <t>Left butt</t>
  </si>
  <si>
    <t>William Peh</t>
  </si>
  <si>
    <t>Referral</t>
  </si>
  <si>
    <t>lim benghock</t>
  </si>
  <si>
    <t>www.</t>
  </si>
  <si>
    <t>Joanna Seah </t>
  </si>
  <si>
    <t xml:space="preserve">Joanna </t>
  </si>
  <si>
    <t>Ng Chen Nee</t>
  </si>
  <si>
    <t xml:space="preserve">Ng Chen Nee </t>
  </si>
  <si>
    <t>Shoulder</t>
  </si>
  <si>
    <t>Yunice Chng</t>
  </si>
  <si>
    <t>Chng Beng Hooi</t>
  </si>
  <si>
    <t>Leong Mai Loon</t>
  </si>
  <si>
    <t>Space</t>
  </si>
  <si>
    <t>Leong Yoke Fun </t>
  </si>
  <si>
    <t xml:space="preserve">Leong Yoke Fun </t>
  </si>
  <si>
    <t>Tserng Wee Jeong</t>
  </si>
  <si>
    <t>Seat is spacing is too tight</t>
  </si>
  <si>
    <t>Vincent Lee</t>
  </si>
  <si>
    <t>Bangkok</t>
  </si>
  <si>
    <t xml:space="preserve">Sit too long.... </t>
  </si>
  <si>
    <t>Samson Sim</t>
  </si>
  <si>
    <t>One</t>
  </si>
  <si>
    <t>Tan Lee Swan</t>
  </si>
  <si>
    <t>From relative.</t>
  </si>
  <si>
    <t>Long Swee Khim</t>
  </si>
  <si>
    <t xml:space="preserve">From friends </t>
  </si>
  <si>
    <t>Toh Cheng Seng</t>
  </si>
  <si>
    <t>TOH CHENG SENG</t>
  </si>
  <si>
    <t xml:space="preserve">to assess the comfort level of the SIA seat </t>
  </si>
  <si>
    <t>not enough leg room and cannot stretch</t>
  </si>
  <si>
    <t>Venkateshan Lakshmana Perumal</t>
  </si>
  <si>
    <t xml:space="preserve">Venkateshan Lakshmana Perumal </t>
  </si>
  <si>
    <t>TONG HONG WENG (Roger)</t>
  </si>
  <si>
    <t xml:space="preserve">Tong Hong Weng </t>
  </si>
  <si>
    <t>Via friends</t>
  </si>
  <si>
    <t>Donny Yong</t>
  </si>
  <si>
    <t>Chua Seok Eng</t>
  </si>
  <si>
    <t xml:space="preserve"> Brochure forwarded by friend</t>
  </si>
  <si>
    <t>Lim See Lian</t>
  </si>
  <si>
    <t>LIM SEE LIAN</t>
  </si>
  <si>
    <t>FRIEND</t>
  </si>
  <si>
    <t>Jason Lee</t>
  </si>
  <si>
    <t>Lee Kian Tiong</t>
  </si>
  <si>
    <t>Tiang Kear Sing</t>
  </si>
  <si>
    <t>Chan Seng Hoong</t>
  </si>
  <si>
    <t xml:space="preserve">From family member </t>
  </si>
  <si>
    <t>Ong Chin Tong (Tommy)</t>
  </si>
  <si>
    <t>70 kg</t>
  </si>
  <si>
    <t xml:space="preserve">Referral </t>
  </si>
  <si>
    <t>Heng Chor Guek (Emily)</t>
  </si>
  <si>
    <t>51kg</t>
  </si>
  <si>
    <t>Yap Siew Chiang</t>
  </si>
  <si>
    <t>Yeo Kee Ai</t>
  </si>
  <si>
    <t>7 years</t>
  </si>
  <si>
    <t>restricted leg room</t>
  </si>
  <si>
    <t>Leong Yoke Khuan</t>
  </si>
  <si>
    <t>Evelyn Yong</t>
  </si>
  <si>
    <t>Georgia</t>
  </si>
  <si>
    <t>Ricky Chia</t>
  </si>
  <si>
    <t>Karen Chan Siew Bee</t>
  </si>
  <si>
    <t xml:space="preserve">Chan Siew Bee Karen </t>
  </si>
  <si>
    <t xml:space="preserve">52 kg </t>
  </si>
  <si>
    <t xml:space="preserve">From my niece </t>
  </si>
  <si>
    <t>Vivien Seoh Lee May</t>
  </si>
  <si>
    <t xml:space="preserve">Seoh Lee May Vivien Letitia </t>
  </si>
  <si>
    <t>Ong Sor Hong </t>
  </si>
  <si>
    <t>Seow Huk Yam Robert</t>
  </si>
  <si>
    <t xml:space="preserve">Seow Huk Yam Robert </t>
  </si>
  <si>
    <t>Friens</t>
  </si>
  <si>
    <t>Chua Kim Cheng</t>
  </si>
  <si>
    <t>YONG JYH FONG</t>
  </si>
  <si>
    <t>Yong Jyh Fong</t>
  </si>
  <si>
    <t>Wui Lin Hing</t>
  </si>
  <si>
    <t>Wendy</t>
  </si>
  <si>
    <t>KOH SEE BOEY WENDY</t>
  </si>
  <si>
    <t>62 Kg</t>
  </si>
  <si>
    <t>Ratna</t>
  </si>
  <si>
    <t>ranjeet singh shandu</t>
  </si>
  <si>
    <t xml:space="preserve">Ranjeet </t>
  </si>
  <si>
    <t>Monika A</t>
  </si>
  <si>
    <t>Amelia Yong Cher Hiong</t>
  </si>
  <si>
    <t>Yong Cher Hiong</t>
  </si>
  <si>
    <t>Friends in a group chat</t>
  </si>
  <si>
    <t>Seating bone due to hot seat</t>
  </si>
  <si>
    <t>Tan Mei Ying</t>
  </si>
  <si>
    <t xml:space="preserve">Limited space </t>
  </si>
  <si>
    <t>Bob Lee Kong Chew</t>
  </si>
  <si>
    <t>Irynn Chia</t>
  </si>
  <si>
    <t>55 kg</t>
  </si>
  <si>
    <t>Amy Yang</t>
  </si>
  <si>
    <t>Yap Tim Hay</t>
  </si>
  <si>
    <t>William Yap Tim Hay</t>
  </si>
  <si>
    <t>Buttoch pain</t>
  </si>
  <si>
    <t>Aik Hsiao Yen</t>
  </si>
  <si>
    <t>soh Yeow peng</t>
  </si>
  <si>
    <t>Soh Lai Tin</t>
  </si>
  <si>
    <t>From family member</t>
  </si>
  <si>
    <t>Seat not spacious enough</t>
  </si>
  <si>
    <t>Lim Hock Chye Ernest </t>
  </si>
  <si>
    <t>Tan Wei Ling</t>
  </si>
  <si>
    <t>Li WenQiang</t>
  </si>
  <si>
    <t>Leg space in economy class</t>
  </si>
  <si>
    <t xml:space="preserve">Singapore citizen </t>
  </si>
  <si>
    <t>Oh ZhenZao</t>
  </si>
  <si>
    <t>From my sister</t>
  </si>
  <si>
    <t>Not on a regular basis</t>
  </si>
  <si>
    <t>Irene Goh</t>
  </si>
  <si>
    <t>Derek Teng</t>
  </si>
  <si>
    <t xml:space="preserve">Ong Sor Hong </t>
  </si>
  <si>
    <t>Cheng Huaqiang</t>
  </si>
  <si>
    <t>Relative</t>
  </si>
  <si>
    <t>Wendy Loh</t>
  </si>
  <si>
    <t>HING WUI LIN</t>
  </si>
  <si>
    <t>The ergonomic design of the head rest is bad.</t>
  </si>
  <si>
    <t>Wong Yen Yi </t>
  </si>
  <si>
    <t>Soh Jraan</t>
  </si>
  <si>
    <t>Not regular</t>
  </si>
  <si>
    <t xml:space="preserve">Lack of legs space &amp; recliner </t>
  </si>
  <si>
    <t>Poon Yi Qian</t>
  </si>
  <si>
    <t>BOB Lee Kong Chew</t>
  </si>
  <si>
    <t>SUJANA WIDJAJA</t>
  </si>
  <si>
    <t>seat countour</t>
  </si>
  <si>
    <t>Grace Toh Gek </t>
  </si>
  <si>
    <t>soh yeow peng</t>
  </si>
  <si>
    <t>singapore</t>
  </si>
  <si>
    <t>Chan Nang Chay</t>
  </si>
  <si>
    <t xml:space="preserve">Lim Hock Chye Ernest </t>
  </si>
  <si>
    <t>About 75kgs</t>
  </si>
  <si>
    <t xml:space="preserve">Sporeans </t>
  </si>
  <si>
    <t>Chua Kee Peng</t>
  </si>
  <si>
    <t>Li Wen Qiang</t>
  </si>
  <si>
    <t>68KG</t>
  </si>
  <si>
    <t>SG PR</t>
  </si>
  <si>
    <t>EMAIL</t>
  </si>
  <si>
    <t>Oh Zhenzao</t>
  </si>
  <si>
    <t>1.65</t>
  </si>
  <si>
    <t>Hoon Beh Teck </t>
  </si>
  <si>
    <t>153</t>
  </si>
  <si>
    <t>50</t>
  </si>
  <si>
    <t xml:space="preserve">Wom </t>
  </si>
  <si>
    <t>175cm</t>
  </si>
  <si>
    <t>Ong Wee Bin</t>
  </si>
  <si>
    <t>67</t>
  </si>
  <si>
    <t>Malaysia</t>
  </si>
  <si>
    <t>Serraine Teo</t>
  </si>
  <si>
    <t>Family member</t>
  </si>
  <si>
    <t>Oscar Ishu Chellaram Samtani</t>
  </si>
  <si>
    <t xml:space="preserve">Claire Wong </t>
  </si>
  <si>
    <t>40</t>
  </si>
  <si>
    <t xml:space="preserve">From a colleague </t>
  </si>
  <si>
    <t>Joyce Chng</t>
  </si>
  <si>
    <t>Social Media</t>
  </si>
  <si>
    <t xml:space="preserve">Family </t>
  </si>
  <si>
    <t>Freida Ho</t>
  </si>
  <si>
    <t>Sujana Widjaja</t>
  </si>
  <si>
    <t>My friend</t>
  </si>
  <si>
    <t>Chair</t>
  </si>
  <si>
    <t>Karen Tan</t>
  </si>
  <si>
    <t xml:space="preserve">Grace Toh Gek </t>
  </si>
  <si>
    <t>162cm</t>
  </si>
  <si>
    <t>49kg</t>
  </si>
  <si>
    <t xml:space="preserve">My brother </t>
  </si>
  <si>
    <t>Oh Ming Hwee</t>
  </si>
  <si>
    <t>Young Yi</t>
  </si>
  <si>
    <t xml:space="preserve">Chua Kee Peng </t>
  </si>
  <si>
    <t xml:space="preserve">Friends referrals </t>
  </si>
  <si>
    <t>Jimmy Ng</t>
  </si>
  <si>
    <t xml:space="preserve">Hoon Beh Teck </t>
  </si>
  <si>
    <t>176</t>
  </si>
  <si>
    <t>Through friend</t>
  </si>
  <si>
    <t>Tan Yu Gin</t>
  </si>
  <si>
    <t xml:space="preserve">Ong Wee Bin </t>
  </si>
  <si>
    <t>180m</t>
  </si>
  <si>
    <t>71</t>
  </si>
  <si>
    <t>Travis Leong</t>
  </si>
  <si>
    <t>1.57</t>
  </si>
  <si>
    <t>Jaclyn Tan</t>
  </si>
  <si>
    <t xml:space="preserve">Oscar Ishu Chellaram Samtani </t>
  </si>
  <si>
    <t xml:space="preserve">A friend - See Lian </t>
  </si>
  <si>
    <t xml:space="preserve">Turbulence </t>
  </si>
  <si>
    <t>Eugene Ow</t>
  </si>
  <si>
    <t xml:space="preserve">Ho Huay Yee Freida </t>
  </si>
  <si>
    <t>148</t>
  </si>
  <si>
    <t>42</t>
  </si>
  <si>
    <t>WONG PNG LEONG</t>
  </si>
  <si>
    <t>Tan Yew Peng</t>
  </si>
  <si>
    <t xml:space="preserve">Irregularly </t>
  </si>
  <si>
    <t>Low Beng kheng </t>
  </si>
  <si>
    <t xml:space="preserve">Irregular </t>
  </si>
  <si>
    <t>Ong kok siong</t>
  </si>
  <si>
    <t>Garry Ong</t>
  </si>
  <si>
    <t>53</t>
  </si>
  <si>
    <t xml:space="preserve">Small and rigid seat </t>
  </si>
  <si>
    <t>David Yeap</t>
  </si>
  <si>
    <t>88.5</t>
  </si>
  <si>
    <t>Low beng kheng</t>
  </si>
  <si>
    <t>90</t>
  </si>
  <si>
    <t xml:space="preserve">Jason </t>
  </si>
  <si>
    <t xml:space="preserve">Singaporrean </t>
  </si>
  <si>
    <t>Forum</t>
  </si>
  <si>
    <t xml:space="preserve">Long sitting </t>
  </si>
  <si>
    <t>Lyu Hongying </t>
  </si>
  <si>
    <t>Telegram Channel - Research Lobang</t>
  </si>
  <si>
    <t>Only flew 4 times or so 20 years ago</t>
  </si>
  <si>
    <t>Poor seat cushion and lack of lumbar support</t>
  </si>
  <si>
    <t>seat design, and short distance between seats</t>
  </si>
  <si>
    <t>China</t>
  </si>
  <si>
    <t>Seat space too small</t>
  </si>
  <si>
    <t>Andre Tan</t>
  </si>
  <si>
    <t>110</t>
  </si>
  <si>
    <t>Caroline Koh</t>
  </si>
  <si>
    <t>There is no neck rest when I doze off</t>
  </si>
  <si>
    <t>Kelvin Chin</t>
  </si>
  <si>
    <t>10</t>
  </si>
  <si>
    <t>ANDREW CHAN</t>
  </si>
  <si>
    <t>COUNT M</t>
  </si>
  <si>
    <t>COUNT F</t>
  </si>
  <si>
    <t>COUNT40</t>
  </si>
  <si>
    <t>COUNT50</t>
  </si>
  <si>
    <t>COUNT60</t>
  </si>
  <si>
    <t>Finished</t>
  </si>
  <si>
    <t>Subject Code</t>
  </si>
  <si>
    <t>Please rate your overall discomfort experience during the study.</t>
  </si>
  <si>
    <t>What factors affected your overall discomfort experience during the study?</t>
  </si>
  <si>
    <t>Were there any issues with recording your discomfort ratings during the flight study?</t>
  </si>
  <si>
    <t>Were there any issues when watching the In-flight Entertainment?</t>
  </si>
  <si>
    <t>Please select other forms of discomfort that you experienced during the study. Check all that apply. - Selected Choice</t>
  </si>
  <si>
    <t>Please select other forms of discomfort that you experienced during the study. Check all that apply. - Others (please specify): - Text</t>
  </si>
  <si>
    <t>Seat dimensions</t>
  </si>
  <si>
    <t>Seat cushion</t>
  </si>
  <si>
    <t>Seat recline</t>
  </si>
  <si>
    <t>Footwell (space for the feet at the front of the seat)</t>
  </si>
  <si>
    <t>Leg rest (part of the seat that supports the calves)</t>
  </si>
  <si>
    <t>Headrest</t>
  </si>
  <si>
    <t>Armrest</t>
  </si>
  <si>
    <t>Are there other aspects of the seat that are important to you?</t>
  </si>
  <si>
    <t>Are there any additional factors that could be addressed to help reduce your discomfort experienced?</t>
  </si>
  <si>
    <t>Slight discomfort</t>
  </si>
  <si>
    <t>The light and noise</t>
  </si>
  <si>
    <t>Others (please specify):</t>
  </si>
  <si>
    <t>Not much except the light</t>
  </si>
  <si>
    <t>Gerry Gewi Kwok wei</t>
  </si>
  <si>
    <t>Inability to use leg rest; small and non-adjustable screen</t>
  </si>
  <si>
    <t>Restricted space for movement,Seat angle</t>
  </si>
  <si>
    <t>Better arm rest. Too low on my right, too high on my left</t>
  </si>
  <si>
    <t>No. It was quite pleasant.</t>
  </si>
  <si>
    <t>No.</t>
  </si>
  <si>
    <t>No. Netflix is great.</t>
  </si>
  <si>
    <t>Headrest not adjustable.</t>
  </si>
  <si>
    <t xml:space="preserve">Isabel Lim shin ping </t>
  </si>
  <si>
    <t xml:space="preserve">The chair position </t>
  </si>
  <si>
    <t>No at all</t>
  </si>
  <si>
    <t>The survey disruption if not is better</t>
  </si>
  <si>
    <t>Seat angle</t>
  </si>
  <si>
    <t>Recline more</t>
  </si>
  <si>
    <t>Not being able to move around and fighting off the urge to sleep.</t>
  </si>
  <si>
    <t>Seat angle,Others (please specify):</t>
  </si>
  <si>
    <t>Wanted to change the seat angle to be more upright after being in the same position for some time.</t>
  </si>
  <si>
    <t xml:space="preserve">Something to hug would help </t>
  </si>
  <si>
    <t>Moderate discomfort</t>
  </si>
  <si>
    <t>Weak back and long hours sitting</t>
  </si>
  <si>
    <t>Able to get up and stretch</t>
  </si>
  <si>
    <t xml:space="preserve">Angle of seat (lateral) </t>
  </si>
  <si>
    <t>Slight difficulty in navigating Netflix</t>
  </si>
  <si>
    <t>Alignment of Center of seat and left armrest</t>
  </si>
  <si>
    <t xml:space="preserve">The positioning of the inflight entertainment with respect to the seat. I had to lean left to view the screen, resulting in my bum being numb </t>
  </si>
  <si>
    <t>Less area to stretch the legs.</t>
  </si>
  <si>
    <t>Restricted space for movement</t>
  </si>
  <si>
    <t>Seat material.</t>
  </si>
  <si>
    <t>Provide sufficient space for movement.</t>
  </si>
  <si>
    <t>Sitting too long.</t>
  </si>
  <si>
    <t>Headrest could have been more better</t>
  </si>
  <si>
    <t>Space for the feet should be a little more spacious</t>
  </si>
  <si>
    <t>No discomfort</t>
  </si>
  <si>
    <t>Should make it .ore realistic tonallow people tonassess email or even take a nap</t>
  </si>
  <si>
    <t>Should make it.more realiatic dor people ro take.nap as not everyone will.be awake thru the 6 hours in real flight</t>
  </si>
  <si>
    <t xml:space="preserve">The inability to adjust the seat. </t>
  </si>
  <si>
    <t>Not really</t>
  </si>
  <si>
    <t>Initial load, has some issues but refresh was ok</t>
  </si>
  <si>
    <t>Na</t>
  </si>
  <si>
    <t>Long hours in seating positions.</t>
  </si>
  <si>
    <t>Seat belt</t>
  </si>
  <si>
    <t xml:space="preserve">sitting too long in one position </t>
  </si>
  <si>
    <t>no</t>
  </si>
  <si>
    <t xml:space="preserve">Too short toilet break. 5mins for females not enough. </t>
  </si>
  <si>
    <t xml:space="preserve">Not really </t>
  </si>
  <si>
    <t>Ear phones discomfort. Some aircraft have the headphones plug where you can bring yoir own or connect via bluetooth</t>
  </si>
  <si>
    <t xml:space="preserve">I am short so footwell only on right leg affects my experience </t>
  </si>
  <si>
    <t>Nothing i can think of at the moment</t>
  </si>
  <si>
    <t xml:space="preserve">P V Anthony </t>
  </si>
  <si>
    <t>The right arm rest. Too narrow.</t>
  </si>
  <si>
    <t xml:space="preserve">shoulder width </t>
  </si>
  <si>
    <t>recline more</t>
  </si>
  <si>
    <t xml:space="preserve">Constant staring at scene and only allow to drink water during the breaks. </t>
  </si>
  <si>
    <t xml:space="preserve">Nope </t>
  </si>
  <si>
    <t>Nope</t>
  </si>
  <si>
    <t>Restricted space for movement,Others (please specify):</t>
  </si>
  <si>
    <t>Left armrest at odd position</t>
  </si>
  <si>
    <t xml:space="preserve">Tay Suat Ling </t>
  </si>
  <si>
    <t>Prolonged sitting</t>
  </si>
  <si>
    <t>Arm rest abit weird position</t>
  </si>
  <si>
    <t>Back n butt</t>
  </si>
  <si>
    <t>Thermal discomfort,Restricted space for movement,Others (please specify):</t>
  </si>
  <si>
    <t>After 3pm the aircon a bit warm, no arm rest on the left. My legs abit dangling unable to touch the floor</t>
  </si>
  <si>
    <t>Cooler cushions</t>
  </si>
  <si>
    <t>Headache</t>
  </si>
  <si>
    <t>Back Cushion</t>
  </si>
  <si>
    <t xml:space="preserve">Buttock quite hot and the last part of the experience my head felt quite dizzy. </t>
  </si>
  <si>
    <t>That the divider wasnt solid. I remember it I was just like a fragile divider in a real plane</t>
  </si>
  <si>
    <t>Just the above mentioned issue.</t>
  </si>
  <si>
    <t>No issues</t>
  </si>
  <si>
    <t>No lower back lumpar support</t>
  </si>
  <si>
    <t>The system doesnt allow scrolling to the right and touching of the screen is not allowed</t>
  </si>
  <si>
    <t>Arm rest height and its not adjustable.</t>
  </si>
  <si>
    <t>Cant think of any now.</t>
  </si>
  <si>
    <t>Lower back no support</t>
  </si>
  <si>
    <t>Not enough lower back support</t>
  </si>
  <si>
    <t>Joan</t>
  </si>
  <si>
    <t xml:space="preserve">Long hours of sitting </t>
  </si>
  <si>
    <t>Inability to adjust inclination of seat, narrow space for legs and slanting to one side, no leg rest available</t>
  </si>
  <si>
    <t>Some movies required a PIN to unlock</t>
  </si>
  <si>
    <t>Thermal discomfort,Restricted space for movement,Seat angle</t>
  </si>
  <si>
    <t>Width of the seat</t>
  </si>
  <si>
    <t>Slightly warmer temperature</t>
  </si>
  <si>
    <t>Chair not being able to adjust to a different angle</t>
  </si>
  <si>
    <t>Arm rest was a bit too high for me</t>
  </si>
  <si>
    <t>Cheryl Ng</t>
  </si>
  <si>
    <t>Inability to adjust seat when original position became uncomfortable. Continuous TV viewing tires the eyes as well. But upper back is the main discomfort area</t>
  </si>
  <si>
    <t xml:space="preserve">Nope. Though having to use arrow key is not as convenient as touch screen </t>
  </si>
  <si>
    <t>Neck support woukd have been nice. Without it the back esp right side was aching after a while. Miss the small pillows which i usually tug behind</t>
  </si>
  <si>
    <t>Lumbar support</t>
  </si>
  <si>
    <t>Longer stretch breaks and having a pillow tucked behind back would be good</t>
  </si>
  <si>
    <t xml:space="preserve">CHOW KIT YEE </t>
  </si>
  <si>
    <t>No lower back support</t>
  </si>
  <si>
    <t>Lack of lower back support</t>
  </si>
  <si>
    <t>Lower back support</t>
  </si>
  <si>
    <t xml:space="preserve">No armrest </t>
  </si>
  <si>
    <t>The shape of the chair. Not much support for the lower back.</t>
  </si>
  <si>
    <t>The surrounding area is a bit narrowed, but feet area is wide enough to move around. Seat angle feel too steep</t>
  </si>
  <si>
    <t>Seat is too hard</t>
  </si>
  <si>
    <t xml:space="preserve">It's good enough </t>
  </si>
  <si>
    <t>Prolonged sitting, watching the screen for too long</t>
  </si>
  <si>
    <t>After recording, the message requesting to fill in the rating blink. So I thought the earlier submission wasn’t successful and re enter</t>
  </si>
  <si>
    <t xml:space="preserve">It’s ok, just that it is too tiring to keep watching </t>
  </si>
  <si>
    <t>Being able to move around and having the option to test</t>
  </si>
  <si>
    <t>Cannot adjust the seat incline further</t>
  </si>
  <si>
    <t>Cushioning</t>
  </si>
  <si>
    <t>Allow for neck pillow</t>
  </si>
  <si>
    <t xml:space="preserve">Long duration of sitting </t>
  </si>
  <si>
    <t>Scrolling is limited as the keyboard does not offer full scrolling functionality.</t>
  </si>
  <si>
    <t>NIL</t>
  </si>
  <si>
    <t>Angelina lim</t>
  </si>
  <si>
    <t>Air temperature was not cold enough. Neck discomfort. </t>
  </si>
  <si>
    <t>No. Love it</t>
  </si>
  <si>
    <t>Thermal discomfort,Restricted space for movement</t>
  </si>
  <si>
    <t>I like it that there is no food smell.</t>
  </si>
  <si>
    <t>Backache </t>
  </si>
  <si>
    <t>Half way no English subtitles </t>
  </si>
  <si>
    <t>My legs are not able to reach the footwell (Too short to reach footwell)</t>
  </si>
  <si>
    <t>Long seating hours, lack of moving around &amp; hardness seat</t>
  </si>
  <si>
    <t>Pillow support for lower back</t>
  </si>
  <si>
    <t>Oh Yee Wee</t>
  </si>
  <si>
    <t>Sitting angle and position </t>
  </si>
  <si>
    <t>Inability to extend my left arm long enough due to the sliding door of the cabin seat.</t>
  </si>
  <si>
    <t>Initially thought the first rating was not registered and keyed iin again.</t>
  </si>
  <si>
    <t>The inflight advertisements cause some difficulty for me to navigate to choose my next video to watch.</t>
  </si>
  <si>
    <t>Neck portion felt discomfort </t>
  </si>
  <si>
    <t>support for neck area</t>
  </si>
  <si>
    <t>ability to adjust the recling seat </t>
  </si>
  <si>
    <t>Sitting in same position for a period of time</t>
  </si>
  <si>
    <t>Extreme discomfort</t>
  </si>
  <si>
    <t>Irregular recording</t>
  </si>
  <si>
    <t>More space</t>
  </si>
  <si>
    <t>Better back support </t>
  </si>
  <si>
    <t>Sho choon kim</t>
  </si>
  <si>
    <t>Staying too long in one position</t>
  </si>
  <si>
    <t>None</t>
  </si>
  <si>
    <t>Hyigene</t>
  </si>
  <si>
    <t>Propably more cushion for the back to lessen the impact of prolong sitting.</t>
  </si>
  <si>
    <t>Sitting too long</t>
  </si>
  <si>
    <t>Initial selection of programs</t>
  </si>
  <si>
    <t>Moving side way to alight with centre of screen</t>
  </si>
  <si>
    <t>Cushion for neck</t>
  </si>
  <si>
    <t>Unable to adjust angle, no cushion to place behind the back, seat is slightly stiff and long extended sitting, foot rest is too far.</t>
  </si>
  <si>
    <t xml:space="preserve">Left leg is stretched in an angle due to blockage </t>
  </si>
  <si>
    <t>Provide cushion for back support or neck support. Allow the chair to be able to move closer to the foot rest</t>
  </si>
  <si>
    <t xml:space="preserve">Sitting position </t>
  </si>
  <si>
    <t>Yee Hsien ta</t>
  </si>
  <si>
    <t>Position</t>
  </si>
  <si>
    <t>The seat is not comfortable </t>
  </si>
  <si>
    <t>Davis sim kok HIANG </t>
  </si>
  <si>
    <t>leg space and arm rest space</t>
  </si>
  <si>
    <t>entertainment </t>
  </si>
  <si>
    <t>Sights discomfort </t>
  </si>
  <si>
    <t>Wong chui ling</t>
  </si>
  <si>
    <t>Seat angle cannot be adjust, very short break given. No cushion / pillow provided to give better support. </t>
  </si>
  <si>
    <t>Disconnect easily</t>
  </si>
  <si>
    <t>Remote buttons not responsive. </t>
  </si>
  <si>
    <t>The armrest is not spacious</t>
  </si>
  <si>
    <t>alfred wong</t>
  </si>
  <si>
    <t>sitting for 6 hours which is normal</t>
  </si>
  <si>
    <t>none</t>
  </si>
  <si>
    <t>no issue</t>
  </si>
  <si>
    <t>the width of the seat</t>
  </si>
  <si>
    <t>Seating for 2hrs continuously…</t>
  </si>
  <si>
    <t>No pillow to support the lower spine.</t>
  </si>
  <si>
    <t>Restricted space for movement,Seat angle,Others (please specify):</t>
  </si>
  <si>
    <t>Need back support like a pillow</t>
  </si>
  <si>
    <t>Limited leg space</t>
  </si>
  <si>
    <t>Ong bee yong</t>
  </si>
  <si>
    <t>Long sitting n the black of flower back support.</t>
  </si>
  <si>
    <t>Not able to adjust after the first adjustment .</t>
  </si>
  <si>
    <t>Neck support  arm rest for the right hand.</t>
  </si>
  <si>
    <t>Air pressure cushion for the seat for distribution of pressure when seated for long hours. The seat gets a little warm .</t>
  </si>
  <si>
    <t>Denjz</t>
  </si>
  <si>
    <t>Fixed inclined position</t>
  </si>
  <si>
    <t>Angle of headrest</t>
  </si>
  <si>
    <t>Height of arm rest</t>
  </si>
  <si>
    <t>Was enjoyable </t>
  </si>
  <si>
    <t>Wireless earphone will be better</t>
  </si>
  <si>
    <t>Long sittings position</t>
  </si>
  <si>
    <t>Restricted seat adjustment </t>
  </si>
  <si>
    <t>Fixed sitting position without foot rest. The armrest was too high causing less support at lower back too. Additionally, there was distance between lower back and sit causing discomfort at lower back than rest of body parts.</t>
  </si>
  <si>
    <t>I got neck soreness likely due to fixed sitting position.</t>
  </si>
  <si>
    <t>No footrest </t>
  </si>
  <si>
    <t>Screen and seat too near to one another</t>
  </si>
  <si>
    <t>The foot rest could have been better aligned with the seat. </t>
  </si>
  <si>
    <t>Touchscreen would have been better </t>
  </si>
  <si>
    <t>Material</t>
  </si>
  <si>
    <t>Headsets would have been good</t>
  </si>
  <si>
    <t>Jane Chan Gek Choo</t>
  </si>
  <si>
    <t>Seat cannot be adjusted. No hand rest. Limited entertainment</t>
  </si>
  <si>
    <t>Suitable cushion for the back</t>
  </si>
  <si>
    <t>Been restricted. </t>
  </si>
  <si>
    <t>Foot rest</t>
  </si>
  <si>
    <t>Ronnie LIM </t>
  </si>
  <si>
    <t>Leg rest not within comfortable reach </t>
  </si>
  <si>
    <t>Seat cushion thickness n seat pillow</t>
  </si>
  <si>
    <t>NONE</t>
  </si>
  <si>
    <t>NO</t>
  </si>
  <si>
    <t>Sitting in the same position for too long</t>
  </si>
  <si>
    <t>Would be best if seat recline angle can be adjusted during breaks</t>
  </si>
  <si>
    <t>my butt (Right) very painful</t>
  </si>
  <si>
    <t>air ciculation</t>
  </si>
  <si>
    <t>nope</t>
  </si>
  <si>
    <t>Hannah Chan Yoke Kuen </t>
  </si>
  <si>
    <t>Severe discomfort</t>
  </si>
  <si>
    <t>The design of the seat has no lumbar support the length of the seat arm rest is too far back, </t>
  </si>
  <si>
    <t>Lumbar support </t>
  </si>
  <si>
    <t>Ong Wah Li </t>
  </si>
  <si>
    <t>Lack of neck support and lumbar support </t>
  </si>
  <si>
    <t>Thermal discomfort</t>
  </si>
  <si>
    <t>Lumbar support or a cushion for back support</t>
  </si>
  <si>
    <t>Buttocks pain</t>
  </si>
  <si>
    <t>Timing for the prompts was off</t>
  </si>
  <si>
    <t xml:space="preserve">Louise </t>
  </si>
  <si>
    <t>Not able to stand up and stretch as often as I would like</t>
  </si>
  <si>
    <t>Lack of lumbar support on the seat</t>
  </si>
  <si>
    <t>Figured it out along the way</t>
  </si>
  <si>
    <t xml:space="preserve">Noise Reduction </t>
  </si>
  <si>
    <t>Michelle H. widjaja</t>
  </si>
  <si>
    <t>No back support and head rest</t>
  </si>
  <si>
    <t>No contoured lower back support. No head rest support</t>
  </si>
  <si>
    <t>More contoured shape</t>
  </si>
  <si>
    <t>Head support</t>
  </si>
  <si>
    <t xml:space="preserve">I felt warm at my back and bottom. Also perhaps due to extended hours of seating, my lower back and hips are a little aching. </t>
  </si>
  <si>
    <t xml:space="preserve">Not really, just the Bluetooth keyboard wasn’t quite sensitive </t>
  </si>
  <si>
    <t>None at all. Appreciate that there was accompanying inflight sounds too</t>
  </si>
  <si>
    <t xml:space="preserve">Temperature </t>
  </si>
  <si>
    <t xml:space="preserve">Room temperature in the flight simulator seems higher than the office outside. </t>
  </si>
  <si>
    <t>No pillow to support my neck, I couldn’t adjust the seat</t>
  </si>
  <si>
    <t>Lighting</t>
  </si>
  <si>
    <t>Neck support</t>
  </si>
  <si>
    <t xml:space="preserve">Time sitting in fixed position </t>
  </si>
  <si>
    <t xml:space="preserve">No problem </t>
  </si>
  <si>
    <t xml:space="preserve">Learning how to select movies </t>
  </si>
  <si>
    <t xml:space="preserve">Slightly cold at the end </t>
  </si>
  <si>
    <t>Back rest</t>
  </si>
  <si>
    <t xml:space="preserve">Arm rest not available for left side </t>
  </si>
  <si>
    <t>Seated too long</t>
  </si>
  <si>
    <t>Sitting over extended period</t>
  </si>
  <si>
    <t>No problem</t>
  </si>
  <si>
    <t>Seat contour</t>
  </si>
  <si>
    <t>Both legs</t>
  </si>
  <si>
    <t>Sandra Wee</t>
  </si>
  <si>
    <t>Leg position</t>
  </si>
  <si>
    <t>Comfortable</t>
  </si>
  <si>
    <t xml:space="preserve">Breaks are good for stretching </t>
  </si>
  <si>
    <t>Restrictions to walk</t>
  </si>
  <si>
    <t>Long hours of sitting. I usually move more</t>
  </si>
  <si>
    <t>It’s just not able to take a walk</t>
  </si>
  <si>
    <t>Just need to move a bit will be good</t>
  </si>
  <si>
    <t>1)Armrests too high and not forward enough to rest my arms comfortably.
2) Staying in the seat in the same position for long period
3) Lack of neck support and side head rest support causing strain on neck
4) Seats were slightly stiff
5) Leg well was slightly off centre</t>
  </si>
  <si>
    <t>Able to move about in the seat while doing other activity like eating and drinking</t>
  </si>
  <si>
    <t>Able to get up and walk around more often. Order and consume food and drinks</t>
  </si>
  <si>
    <t>Seow Cherng Jye</t>
  </si>
  <si>
    <t xml:space="preserve">Low back discomfort </t>
  </si>
  <si>
    <t>Bil</t>
  </si>
  <si>
    <t xml:space="preserve">Bigger seat </t>
  </si>
  <si>
    <t>Size of the seat</t>
  </si>
  <si>
    <t>BengHock LIM</t>
  </si>
  <si>
    <t>Once the keyboard sleeps, it jump episodes</t>
  </si>
  <si>
    <t>Air flow and cold temp</t>
  </si>
  <si>
    <t>The screen too near, causing my eye vision blurry after watching for long hours</t>
  </si>
  <si>
    <t xml:space="preserve">Anyway to let the seat stay cool ? After long hours, the heat can make the hips uncomfortable </t>
  </si>
  <si>
    <t>There are not enough cushion</t>
  </si>
  <si>
    <t xml:space="preserve">My neck is not as comfortable </t>
  </si>
  <si>
    <t>The leg rest is not of the correct angle</t>
  </si>
  <si>
    <t xml:space="preserve">Arm rest not long enough </t>
  </si>
  <si>
    <t xml:space="preserve">The inner part of the chair Shld have some dimension to support the lower back </t>
  </si>
  <si>
    <t xml:space="preserve">Stiff muscle and low temperature </t>
  </si>
  <si>
    <t>I would like to have a cushion to place under my lower back.</t>
  </si>
  <si>
    <t xml:space="preserve">The chair upper back a bit push out for me </t>
  </si>
  <si>
    <t>Table height and where the earpiece connected from</t>
  </si>
  <si>
    <t xml:space="preserve">The alignment of the chair and the TV. </t>
  </si>
  <si>
    <t xml:space="preserve">Sitting for too long. </t>
  </si>
  <si>
    <t xml:space="preserve">Yes. It keeps jumping forward to other episodes when watching serial many times. When watching movie, it also keeps jumping forward. . </t>
  </si>
  <si>
    <t xml:space="preserve">Quite ok generally </t>
  </si>
  <si>
    <t xml:space="preserve">More cushiony and cooling will be good. Maybe a back support for those who needs it. </t>
  </si>
  <si>
    <t xml:space="preserve">Can it be a massager as well? </t>
  </si>
  <si>
    <t>Engine sound and long sitting</t>
  </si>
  <si>
    <t xml:space="preserve">Air circulation </t>
  </si>
  <si>
    <t>Looking at screen al the time.</t>
  </si>
  <si>
    <t>Seat handle not comfortable</t>
  </si>
  <si>
    <t>Teo Yumei Claire</t>
  </si>
  <si>
    <t xml:space="preserve">Cannot change sitting position </t>
  </si>
  <si>
    <t>Screen alignment with the seat leading me to tilt a certain way. time spend on the seat puts pressure on my lower back, pelvis and buttocks</t>
  </si>
  <si>
    <t>Lesser time spend on the seat</t>
  </si>
  <si>
    <t xml:space="preserve">Long hours sitting at one spot. </t>
  </si>
  <si>
    <t xml:space="preserve">Short time for stretching. </t>
  </si>
  <si>
    <t xml:space="preserve">Back </t>
  </si>
  <si>
    <t>NoNo</t>
  </si>
  <si>
    <t xml:space="preserve">Lower back </t>
  </si>
  <si>
    <t xml:space="preserve">No issue </t>
  </si>
  <si>
    <t xml:space="preserve">Comfortable </t>
  </si>
  <si>
    <t xml:space="preserve">To use headset instead of ear piece </t>
  </si>
  <si>
    <t>Long hours of sitting.</t>
  </si>
  <si>
    <t>More space for strecthing or allow for a walk every hour.</t>
  </si>
  <si>
    <t>The back felt warm</t>
  </si>
  <si>
    <t>Thermal discomfort,Seat angle</t>
  </si>
  <si>
    <t>The curvature of the back rest</t>
  </si>
  <si>
    <t>Long hours of sitting,</t>
  </si>
  <si>
    <t>It will help if angle can be adjusted .</t>
  </si>
  <si>
    <t>Better armrest</t>
  </si>
  <si>
    <t xml:space="preserve">No. Very easy. </t>
  </si>
  <si>
    <t xml:space="preserve">No </t>
  </si>
  <si>
    <t xml:space="preserve">Further recline with leg rest </t>
  </si>
  <si>
    <t xml:space="preserve">Soeapi Soelaiman </t>
  </si>
  <si>
    <t>Sit too long and can’t stand up</t>
  </si>
  <si>
    <t>No, all great</t>
  </si>
  <si>
    <t>So far so great</t>
  </si>
  <si>
    <t xml:space="preserve">Neo Hwee Hoon </t>
  </si>
  <si>
    <t xml:space="preserve">Lack of recline, neck, lumbar support, footrest </t>
  </si>
  <si>
    <t>Clearly, even economy class sears have leg rests. Not having it in the study makes no sense and reflects very poor logic and design of the study.</t>
  </si>
  <si>
    <t xml:space="preserve">Nil </t>
  </si>
  <si>
    <t xml:space="preserve">Cannot use the touch screen </t>
  </si>
  <si>
    <t xml:space="preserve">Ear piece comfort level </t>
  </si>
  <si>
    <t xml:space="preserve">Nothing </t>
  </si>
  <si>
    <t xml:space="preserve">Unable to get up to stretch and adjust seat </t>
  </si>
  <si>
    <t xml:space="preserve">Cushion/pillow for lower back would be good. </t>
  </si>
  <si>
    <t xml:space="preserve">Temperature too cold, left side insufficient arm rest, lumbar not well supported, feet not enough support for resting.  </t>
  </si>
  <si>
    <t xml:space="preserve">No issues. </t>
  </si>
  <si>
    <t>All mentioned above</t>
  </si>
  <si>
    <t>Tong Hong Weng</t>
  </si>
  <si>
    <t xml:space="preserve">Fixed position throughout </t>
  </si>
  <si>
    <t>Having a seat belt may make the study more realistic</t>
  </si>
  <si>
    <t xml:space="preserve">The seat getting warm after sitting for more than 30 minutes </t>
  </si>
  <si>
    <t>Mainly pressure on my buttocks probably due to my own bony frame.</t>
  </si>
  <si>
    <t>Slow for subtitles to load at start of each epidode of Full House Korean Drama</t>
  </si>
  <si>
    <t xml:space="preserve">Just  the bottom seat cushion </t>
  </si>
  <si>
    <t>The lack of a small pillow to support my neck &amp; lower back and the lack of foot rests &amp; arm rests.</t>
  </si>
  <si>
    <t>The screen was too near. Viewing discomfort.</t>
  </si>
  <si>
    <t xml:space="preserve">Lim See Lian </t>
  </si>
  <si>
    <t>1)The neck has no support
2)The lower back has no support.
3)Feels a bit warm and uncomfortable
4)Seat does not have a nice firm padding
5) There is no head pad that I can lean to</t>
  </si>
  <si>
    <t>The texture of the seat material. Eg it can be warm if it is leather</t>
  </si>
  <si>
    <t>The level of the Screen.</t>
  </si>
  <si>
    <t xml:space="preserve">Lee Kian Tiong </t>
  </si>
  <si>
    <t>Hardness of the seat</t>
  </si>
  <si>
    <t xml:space="preserve">Would b good to have some built  in massage function </t>
  </si>
  <si>
    <t xml:space="preserve">More free movements or time to move around more </t>
  </si>
  <si>
    <t>Sitting too long in certain positions. Cannot adjust the seat.</t>
  </si>
  <si>
    <t>No, except doing ratings interval too short</t>
  </si>
  <si>
    <t>The wall at side too thin. Would be better if can lean.</t>
  </si>
  <si>
    <t xml:space="preserve">The upper part of the seat, my shoulders cannot rest well. </t>
  </si>
  <si>
    <t xml:space="preserve">No issues. Good to have the guide on the rating discomfort. </t>
  </si>
  <si>
    <t xml:space="preserve">Problem with juggling between selecting shows and filling up the form. </t>
  </si>
  <si>
    <t>No arm rest</t>
  </si>
  <si>
    <t>Ong Chin Tong(Tommy)</t>
  </si>
  <si>
    <t>How long you sit</t>
  </si>
  <si>
    <t xml:space="preserve">Hip </t>
  </si>
  <si>
    <t>Need to have blood circulation on the foot</t>
  </si>
  <si>
    <t>Firm</t>
  </si>
  <si>
    <t xml:space="preserve">Chan Nang Heong </t>
  </si>
  <si>
    <t>The lower back not supported. Using my lower legs to resist slipping down.</t>
  </si>
  <si>
    <t>Firmness of cushion, pillow to support lower back, arm rest</t>
  </si>
  <si>
    <t>Area to move about. Distraction such as movie and reading</t>
  </si>
  <si>
    <t>Mainly back n buttocka</t>
  </si>
  <si>
    <t>Neck ache</t>
  </si>
  <si>
    <t>Neck cushions will be good</t>
  </si>
  <si>
    <t xml:space="preserve">Not able to readjust the reclining of seats </t>
  </si>
  <si>
    <t>Lower back</t>
  </si>
  <si>
    <t>More frequentl toilet break</t>
  </si>
  <si>
    <t xml:space="preserve">Yong Jyh Fong </t>
  </si>
  <si>
    <t xml:space="preserve">Forced to hold bladder until break time </t>
  </si>
  <si>
    <t xml:space="preserve">More in bladder control </t>
  </si>
  <si>
    <t xml:space="preserve">Quite comfy </t>
  </si>
  <si>
    <t xml:space="preserve">Noisy due to airplane noise </t>
  </si>
  <si>
    <t>Wendy Koh</t>
  </si>
  <si>
    <t xml:space="preserve">The seat is not very comfortable </t>
  </si>
  <si>
    <t xml:space="preserve">The screen that appears to lock in the comfort level was too fast n needs stay longer </t>
  </si>
  <si>
    <t>No issue</t>
  </si>
  <si>
    <t>Maybe neck cushion</t>
  </si>
  <si>
    <t>Sitting too long and too hot. Neck tired</t>
  </si>
  <si>
    <t>Support for neck especially for long distance</t>
  </si>
  <si>
    <t>Sitting on a same position for a long period.</t>
  </si>
  <si>
    <t>The ear bud keeps falling off my ear and the wired keeps getting to my way.</t>
  </si>
  <si>
    <t xml:space="preserve">White noise, dry cabin air and needed to go to the toilet at only restricted timing. </t>
  </si>
  <si>
    <t>If the seat can be equipped with an adjustable temperature to keep warm will be a nice touch.</t>
  </si>
  <si>
    <t>Provide pillows</t>
  </si>
  <si>
    <t>Seats  too hard . Can’t change seats position.</t>
  </si>
  <si>
    <t>Subtitle didn’t show .</t>
  </si>
  <si>
    <t xml:space="preserve">More cushion needed </t>
  </si>
  <si>
    <t xml:space="preserve">Need to be more spacious </t>
  </si>
  <si>
    <t>Maybe Seating in a position too long</t>
  </si>
  <si>
    <t>N.A</t>
  </si>
  <si>
    <t>Have the seat cushion more comfortable</t>
  </si>
  <si>
    <t>Lack of movement. Staying still for too long, forgetting to stretch or shift posture</t>
  </si>
  <si>
    <t xml:space="preserve">No issues </t>
  </si>
  <si>
    <t>None relating to the equipment. The only issue was my spectacles wasn't clear at certain angle</t>
  </si>
  <si>
    <t>Watched too much tv, a bit of eye strain now</t>
  </si>
  <si>
    <t>The curvature of the seat. The curvature should support the back and not allow the body to hunch over. This seat is not too bad. The real seats in the airplane economy class causes me to hunch over</t>
  </si>
  <si>
    <t>The real flights have a smell... airplane smell... I don't like it. This room is good. No smell</t>
  </si>
  <si>
    <t>Feet is not touching the ground.</t>
  </si>
  <si>
    <t>Lower back feels achy after &amp;gt;5hrs of sitting down</t>
  </si>
  <si>
    <t xml:space="preserve">Unable to rest the arms properly, neck ache slightly </t>
  </si>
  <si>
    <t>Neck rest , doesn’t feel warm after long hours of sitting</t>
  </si>
  <si>
    <t>Neck cushion</t>
  </si>
  <si>
    <t>Uneven height of arm rests one higher than the other</t>
  </si>
  <si>
    <t>Arm rest height difference on left and right side</t>
  </si>
  <si>
    <t>Long duration of sitting down</t>
  </si>
  <si>
    <t xml:space="preserve">Armrest not low enough and lack of support for the headrest </t>
  </si>
  <si>
    <t>The shape and support of seat cushion</t>
  </si>
  <si>
    <t>Simulate shape and support of massage chair</t>
  </si>
  <si>
    <t>Sit for long period of time</t>
  </si>
  <si>
    <t>No back support</t>
  </si>
  <si>
    <t>More padded areas</t>
  </si>
  <si>
    <t>Provide back rest.</t>
  </si>
  <si>
    <t>Long sitting in one position</t>
  </si>
  <si>
    <t>The left arm rest was a little too high and narrow.</t>
  </si>
  <si>
    <t>Adjustable head rest</t>
  </si>
  <si>
    <t>The neck area</t>
  </si>
  <si>
    <t xml:space="preserve">Legs angle </t>
  </si>
  <si>
    <t xml:space="preserve">Neck support is Important </t>
  </si>
  <si>
    <t>Centralised legs stretch will be good</t>
  </si>
  <si>
    <t>The angle of the seat was fixed. I could not adjust it. In actual flights, I could adjust it</t>
  </si>
  <si>
    <t xml:space="preserve">Cannot adjust to a lower angle. It was fixed at quite an upright position. </t>
  </si>
  <si>
    <t>To allow adjustment of the angle of seats during the 6.5 hours</t>
  </si>
  <si>
    <t>The seat can not support my back</t>
  </si>
  <si>
    <t xml:space="preserve">No cushion to support my back. When I rest my legs on leg rest, my back totally unsupported </t>
  </si>
  <si>
    <t xml:space="preserve">Need back support </t>
  </si>
  <si>
    <t>More cushions</t>
  </si>
  <si>
    <t>Enable to adjust seat</t>
  </si>
  <si>
    <t xml:space="preserve">No extra pillow. </t>
  </si>
  <si>
    <t>Your simulation seat arm rest not balance. Left side too short</t>
  </si>
  <si>
    <t>Hing Wui Lin</t>
  </si>
  <si>
    <t>No support at my back</t>
  </si>
  <si>
    <t>Too narrow of the space on my right side arm rest</t>
  </si>
  <si>
    <t>Thicker cushion on my back</t>
  </si>
  <si>
    <t>There was no neck support</t>
  </si>
  <si>
    <t xml:space="preserve">There was no option to record neck discomfort </t>
  </si>
  <si>
    <t>The foot rest is not parallel with the seat, hence it did not allow optimum rest</t>
  </si>
  <si>
    <t>Neck support, better seat angle</t>
  </si>
  <si>
    <t xml:space="preserve">Monika </t>
  </si>
  <si>
    <t>The space to move the legs around</t>
  </si>
  <si>
    <t>Besides the chair dimension, Arm rest height and area are pretty good</t>
  </si>
  <si>
    <t xml:space="preserve">The humidity level </t>
  </si>
  <si>
    <t>Consider monitoring neck discomfort too</t>
  </si>
  <si>
    <t>The seat alignment, right side arm rest is too high and small, ear piece is very uncomfortable to wear</t>
  </si>
  <si>
    <t>Ear piece is not friendly user</t>
  </si>
  <si>
    <t>Cabin space too small for taller passenger</t>
  </si>
  <si>
    <t xml:space="preserve">One rating was done twice because it was not submitted. </t>
  </si>
  <si>
    <t>Soh yeow peng</t>
  </si>
  <si>
    <t>No lumber support</t>
  </si>
  <si>
    <t>Not enough option</t>
  </si>
  <si>
    <t xml:space="preserve">Buttocks  &amp; upper hips </t>
  </si>
  <si>
    <t>Initially yes but later ok.</t>
  </si>
  <si>
    <t>Good</t>
  </si>
  <si>
    <t xml:space="preserve">Seat cushion </t>
  </si>
  <si>
    <t xml:space="preserve">may be have the Chinese </t>
  </si>
  <si>
    <t>Seated for long hours</t>
  </si>
  <si>
    <t>Butt pain</t>
  </si>
  <si>
    <t>Softer seat cushion</t>
  </si>
  <si>
    <t xml:space="preserve">Derek Teng </t>
  </si>
  <si>
    <t>Pro long sitting quite normal nothing</t>
  </si>
  <si>
    <t>Would be nice to have an arch in the centre like car seats</t>
  </si>
  <si>
    <t>Not really. Key is to take 5 mins walk intermittently that greatly reduces any discomfort</t>
  </si>
  <si>
    <t xml:space="preserve">Cheng Huaqiang </t>
  </si>
  <si>
    <t>So far is good</t>
  </si>
  <si>
    <t>Had to move my body to the left so my right leg is not slanted at an angle to stretch when seated</t>
  </si>
  <si>
    <t xml:space="preserve">The lack of neck support and limitation to 30deg </t>
  </si>
  <si>
    <t>Controller has a slight low batt situation but overall ok</t>
  </si>
  <si>
    <t>Thermal discomfort,Restricted space for movement,Seat angle,Others (please specify):</t>
  </si>
  <si>
    <t>Slight discomfort from earphones bud size</t>
  </si>
  <si>
    <t>Possibility to elevate the cushion height/level for better comfort?</t>
  </si>
  <si>
    <t>A support cushion for the lower back</t>
  </si>
  <si>
    <t>Sit too long without getting up to stretch. On flights, I will normally get put of my seat about every half hour to stretch .</t>
  </si>
  <si>
    <t>A little claustophobic for me. Arm rest too high.</t>
  </si>
  <si>
    <t>Distance to screen</t>
  </si>
  <si>
    <t>Depth to sit cross legged</t>
  </si>
  <si>
    <t>Sujana widjaja</t>
  </si>
  <si>
    <t>Siting too long duration</t>
  </si>
  <si>
    <t>My butt area</t>
  </si>
  <si>
    <t>The width of seat is seems need to make little  bigger and seat  bit softer for enjoy for sitting for long duration</t>
  </si>
  <si>
    <t xml:space="preserve">No leg rest </t>
  </si>
  <si>
    <t xml:space="preserve">Body experienced aches from limited room, sitting at one position </t>
  </si>
  <si>
    <t xml:space="preserve">Arm rest , space in between passenger </t>
  </si>
  <si>
    <t>seating position</t>
  </si>
  <si>
    <t>the remote control not very user friendly</t>
  </si>
  <si>
    <t>extra cushion</t>
  </si>
  <si>
    <t xml:space="preserve">Nice movie during the experience. </t>
  </si>
  <si>
    <t xml:space="preserve">Personal preference is orchestra concert. </t>
  </si>
  <si>
    <t xml:space="preserve">Engine noise </t>
  </si>
  <si>
    <t xml:space="preserve">Lighting levels </t>
  </si>
  <si>
    <t>Long hours sitting . Cannot adjust the seat</t>
  </si>
  <si>
    <t xml:space="preserve">The light should be adjustable </t>
  </si>
  <si>
    <t xml:space="preserve">Probably continue long hours sitting </t>
  </si>
  <si>
    <t xml:space="preserve">Feel slightly warm after long hours sitting </t>
  </si>
  <si>
    <t xml:space="preserve">Can add lower back support cushioning </t>
  </si>
  <si>
    <t>Serraine</t>
  </si>
  <si>
    <t xml:space="preserve">If the seat can adjust more </t>
  </si>
  <si>
    <t xml:space="preserve">The leg room especially and my lower back. </t>
  </si>
  <si>
    <t xml:space="preserve">Must have a thick cushion. </t>
  </si>
  <si>
    <t>Joyce</t>
  </si>
  <si>
    <t>Boredom. Leg rest not raised</t>
  </si>
  <si>
    <t>Nope. Touchscreen would be better</t>
  </si>
  <si>
    <t xml:space="preserve">No neck support. No leg support </t>
  </si>
  <si>
    <t>Wider foot rest. Elevated calf support</t>
  </si>
  <si>
    <t>Steven</t>
  </si>
  <si>
    <t>Long period of inactivity</t>
  </si>
  <si>
    <t>Amount of soace around the seat</t>
  </si>
  <si>
    <t>More space for movement</t>
  </si>
  <si>
    <t>Lack of neck and lumbar support. Can be quite tiring</t>
  </si>
  <si>
    <t>Karen Bee Neo Tan</t>
  </si>
  <si>
    <t xml:space="preserve">Long duration of seating and no able to change angle of seat. </t>
  </si>
  <si>
    <t>Cushion to let the lower back and hip area</t>
  </si>
  <si>
    <t xml:space="preserve">Arm rest must be at the right height; the screen facing the middle of the seat; no blockage to allow both legs to fully stretch forward. </t>
  </si>
  <si>
    <t xml:space="preserve">Unable to fully stretch the left leg; arm rest is too high </t>
  </si>
  <si>
    <t xml:space="preserve">Thick cushion on the seat </t>
  </si>
  <si>
    <t xml:space="preserve">Need to provide cushion to support the back </t>
  </si>
  <si>
    <t xml:space="preserve">Prolonged seating </t>
  </si>
  <si>
    <t xml:space="preserve">Neck support would help. </t>
  </si>
  <si>
    <t xml:space="preserve">The leg rest seems angled to one side </t>
  </si>
  <si>
    <t>Unable to adjust seat position resulting head and neck always in same position. Right leg unable to stretch straight like the left as the opening in front is not wide enough.</t>
  </si>
  <si>
    <t>None.</t>
  </si>
  <si>
    <t>None other than those mentioned above.</t>
  </si>
  <si>
    <t>The foot well was slightly to the left and was not aligned with the seat, so my body was not straight. It made me uncomfortable, as I kept on adjusting my position.</t>
  </si>
  <si>
    <t>No issues recording the readings, but I felt numbness in my lower leg, which could have been due to the long pressure on the thighs. I indicated as thigh discomfort as it was the only location available.</t>
  </si>
  <si>
    <t>In flight entertainment was easy to use.</t>
  </si>
  <si>
    <t>The foot well where we place the foot and the partition on my left felt a little restrictive. This is very important: there was no elevated headrest to rest my head, it was very comfortable and caused tension in my neck.</t>
  </si>
  <si>
    <t xml:space="preserve">While the width is important, the length is also important. </t>
  </si>
  <si>
    <t>I didn't get to use the legrest, but I believe it will ease the discomfort.</t>
  </si>
  <si>
    <t xml:space="preserve">Not able to adjust the seat after the study started and the earpiece is hurting my ear. </t>
  </si>
  <si>
    <t>The earpiece</t>
  </si>
  <si>
    <t>The material of the seat</t>
  </si>
  <si>
    <t>The smell of the environment</t>
  </si>
  <si>
    <t xml:space="preserve">Jaclyn Tan </t>
  </si>
  <si>
    <t>Nothing</t>
  </si>
  <si>
    <t>Nothing, all is good</t>
  </si>
  <si>
    <t>Velayutham s/o Karumanan</t>
  </si>
  <si>
    <t>Armrest too close so hand movements restricted. Not much space to extend the legs.</t>
  </si>
  <si>
    <t>Head can't rest easily on seat. Have to tilt my head back to touch the seat.</t>
  </si>
  <si>
    <t>Toilet break too short or can more more short breaks just to stand and stretch.</t>
  </si>
  <si>
    <t>Pain at the lower back and pelvis area</t>
  </si>
  <si>
    <t xml:space="preserve">Pillow and blanket to be provided. </t>
  </si>
  <si>
    <t>It is basically comfortable. Is more of the normal tightness you get at certain spots from time to time if u assume the same position over a rather long period of time.</t>
  </si>
  <si>
    <t>No. It was really user friendly</t>
  </si>
  <si>
    <t>No. It was enjoyable.</t>
  </si>
  <si>
    <t>I think it is more of my personal body make up. The soreness is just at the location i am familiar with. Overall it is really comfortable. I was surprised how comfortable it was during the first 4 hours.</t>
  </si>
  <si>
    <t>Is all good</t>
  </si>
  <si>
    <t>N.a</t>
  </si>
  <si>
    <t>Left leg stretch is limited on left panel, upper button discomfort after certain duration</t>
  </si>
  <si>
    <t>wider left to right space to stretch legs</t>
  </si>
  <si>
    <t xml:space="preserve">I didn’t feel much discomfort at all as I had enough space to move around the shift my positioning </t>
  </si>
  <si>
    <t xml:space="preserve">Maybe a way tie regular the temperature? It was slightly chilly but I had a jacket </t>
  </si>
  <si>
    <t>Lim Kiew hong</t>
  </si>
  <si>
    <t>Heat from the seat</t>
  </si>
  <si>
    <t>The seat cushion does not support my lower back and the lower hip does not have enough support.</t>
  </si>
  <si>
    <t>The material of the seat, I prefer smooth leather than fabric.</t>
  </si>
  <si>
    <t>Lower back could have more support.</t>
  </si>
  <si>
    <t>No pillow. Fixed position. Unadjusted head rest.</t>
  </si>
  <si>
    <t xml:space="preserve">Pillow </t>
  </si>
  <si>
    <t xml:space="preserve">Noise and no arm rest </t>
  </si>
  <si>
    <t xml:space="preserve">Low humidity, need lip balm </t>
  </si>
  <si>
    <t>Aris</t>
  </si>
  <si>
    <t xml:space="preserve">The position of the seat, the height of the tv
</t>
  </si>
  <si>
    <t>The controller could not move the selection sideways. It could only scrol up or down.</t>
  </si>
  <si>
    <t>The seat texture, the headrest are very important especially for a long haul flight</t>
  </si>
  <si>
    <t xml:space="preserve">The positioning of the seat and my legs </t>
  </si>
  <si>
    <t xml:space="preserve">The softness of the cushion </t>
  </si>
  <si>
    <t xml:space="preserve">Allow us to recline the seats further </t>
  </si>
  <si>
    <t>inability to adjust the seating position, tv screen is too close to the head</t>
  </si>
  <si>
    <t xml:space="preserve">Not really. Just slight numb feeling and sore feeling on the buttocks </t>
  </si>
  <si>
    <t>Not really. Just the screen is not positioned at the center of the vision, and also the distance is too close (probably also the monitor is larger)</t>
  </si>
  <si>
    <t xml:space="preserve">The leg space is not positioned properly in line with the seat, so it’s a bit uncomfortable </t>
  </si>
  <si>
    <t>positioning of tv screen, leg space and the seat itself all are not in line</t>
  </si>
  <si>
    <t xml:space="preserve">Sitting for prolonged period </t>
  </si>
  <si>
    <t>Engine noise simulation is quite loud</t>
  </si>
  <si>
    <t>Koh Choh shin</t>
  </si>
  <si>
    <t>Sit too long</t>
  </si>
  <si>
    <t>Need to hold my pee</t>
  </si>
  <si>
    <t>Thermal warming seat</t>
  </si>
  <si>
    <t>Food as distraction</t>
  </si>
  <si>
    <t>LYU HONGYING</t>
  </si>
  <si>
    <t>Not bad</t>
  </si>
  <si>
    <t>Very good</t>
  </si>
  <si>
    <t>Angle adjustment</t>
  </si>
  <si>
    <t>Addition cushion</t>
  </si>
  <si>
    <t>Must be inline with body</t>
  </si>
  <si>
    <t>Increase max recline may make more comfortable</t>
  </si>
  <si>
    <t>No neck support.</t>
  </si>
  <si>
    <t>The keypad is not sensitive at times.</t>
  </si>
  <si>
    <t>Not familiar with navigating using the remote.</t>
  </si>
  <si>
    <t>Mainly sitting for so long, but the seats were really comfortable so i only had very minor discomfort on my right side of body</t>
  </si>
  <si>
    <t>It would be good if the footwell was wider</t>
  </si>
  <si>
    <t>Body aches and tightness of the body</t>
  </si>
  <si>
    <t>Feeling fatigue and tightness of the body</t>
  </si>
  <si>
    <t xml:space="preserve">More time to move around and stretching </t>
  </si>
  <si>
    <t>Air was dry</t>
  </si>
  <si>
    <t xml:space="preserve">Alvin Teo Ti-Wun </t>
  </si>
  <si>
    <t>The 2 hours per slot restriction</t>
  </si>
  <si>
    <t>Sitting for more an hour without any movements, there numbness on the back and legs which caused discomfort</t>
  </si>
  <si>
    <t>Seat cushion will helps to ease the discomfort to certain extent..</t>
  </si>
  <si>
    <t>The abv states just fine.</t>
  </si>
  <si>
    <t>Not other factors.</t>
  </si>
  <si>
    <t>Staying in a single position for too long, which caused a bit of ache.</t>
  </si>
  <si>
    <t>The smell in the cabin.</t>
  </si>
  <si>
    <t>The smell in the cabin feels very leathery at times.</t>
  </si>
  <si>
    <t xml:space="preserve">ANDREW CHAN </t>
  </si>
  <si>
    <t>sitting too long in one position and not able to stand up and move around.</t>
  </si>
  <si>
    <t>Headrest should have both sides to prevent head from moving out</t>
  </si>
  <si>
    <t xml:space="preserve">Better arm rest and cushions </t>
  </si>
  <si>
    <t>#of 1s</t>
  </si>
  <si>
    <t>#of 2s</t>
  </si>
  <si>
    <t>Dimension -&gt; Cushion -&gt; Recline -&gt; Footwell -&gt; Headrest -&gt; Legrest -&gt; Armrest</t>
  </si>
  <si>
    <t>Underweight BMI</t>
  </si>
  <si>
    <t>Normal BMI</t>
  </si>
  <si>
    <t>Overweight BMI</t>
  </si>
  <si>
    <t>(with SQ&amp;WL)</t>
  </si>
  <si>
    <t>Normal + Under</t>
  </si>
  <si>
    <t>Overweight</t>
  </si>
  <si>
    <t>Normal Body Fat %</t>
  </si>
  <si>
    <t>Obese Body Fat %</t>
  </si>
  <si>
    <t>First Break Recorded Angle</t>
  </si>
  <si>
    <t>Second Break Recorded Angle</t>
  </si>
  <si>
    <t>32 (didn’t move from end of second break till the end)</t>
  </si>
  <si>
    <t>28 (stayed at 22 from end of second break till the end)</t>
  </si>
  <si>
    <t>angle changed to 28 from end of second break to end of study</t>
  </si>
  <si>
    <t>22 (25 at the end of study)</t>
  </si>
  <si>
    <t>27 from the end of second break to end of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</si>
</sst>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32">
    <font>
      <sz val="12"/>
      <color theme="1"/>
      <name val="Aptos Narrow"/>
      <family val="2"/>
      <scheme val="minor"/>
    </font>
    <font>
      <sz val="8"/>
      <name val="Aptos Narrow"/>
      <family val="2"/>
      <scheme val="minor"/>
    </font>
    <font>
      <sz val="14"/>
      <color theme="1"/>
      <name val="Aptos"/>
    </font>
    <font>
      <b/>
      <sz val="14"/>
      <color theme="0"/>
      <name val="Aptos"/>
    </font>
    <font>
      <b/>
      <sz val="14"/>
      <color theme="1"/>
      <name val="Aptos"/>
    </font>
    <font>
      <i/>
      <sz val="14"/>
      <color theme="1"/>
      <name val="Aptos"/>
    </font>
    <font>
      <sz val="14"/>
      <color rgb="FF000000"/>
      <name val="Aptos"/>
    </font>
    <font>
      <sz val="11"/>
      <color rgb="FF000000"/>
      <name val="Aptos Narrow"/>
      <family val="2"/>
    </font>
    <font>
      <sz val="10"/>
      <color rgb="FF000000"/>
      <name val="Helvetica Neue"/>
      <family val="2"/>
    </font>
    <font>
      <sz val="12"/>
      <color theme="1"/>
      <name val="Helvetica"/>
      <family val="2"/>
    </font>
    <font>
      <sz val="12"/>
      <color theme="1"/>
      <name val="Aptos Narrow"/>
      <scheme val="minor"/>
    </font>
    <font>
      <sz val="12"/>
      <color rgb="FF000000"/>
      <name val="Aptos Narrow"/>
      <scheme val="minor"/>
    </font>
    <font>
      <sz val="14"/>
      <color rgb="FFFF0000"/>
      <name val="Aptos"/>
    </font>
    <font>
      <sz val="11"/>
      <color rgb="FF000000"/>
      <name val="Calibri"/>
      <family val="2"/>
    </font>
    <font>
      <b/>
      <sz val="14"/>
      <color rgb="FF000000"/>
      <name val="Aptos"/>
    </font>
    <font>
      <sz val="10"/>
      <color rgb="FF000000"/>
      <name val="Calibri"/>
      <family val="2"/>
    </font>
    <font>
      <sz val="12"/>
      <color rgb="FF242424"/>
      <name val="Aptos Narrow"/>
    </font>
    <font>
      <sz val="10"/>
      <color theme="1"/>
      <name val="Helvetica Neue"/>
      <family val="2"/>
    </font>
    <font>
      <sz val="11"/>
      <color rgb="FF000000"/>
      <name val="Aptos Narrow"/>
      <family val="2"/>
      <scheme val="minor"/>
    </font>
    <font>
      <sz val="14"/>
      <color rgb="FF000000"/>
      <name val="Aptos"/>
      <charset val="1"/>
    </font>
    <font>
      <sz val="10"/>
      <color rgb="FFFF0000"/>
      <name val="Helvetica Neue"/>
      <family val="2"/>
    </font>
    <font>
      <sz val="12"/>
      <color rgb="FFFF0000"/>
      <name val="Aptos Narrow"/>
      <family val="2"/>
      <scheme val="minor"/>
    </font>
    <font>
      <sz val="11"/>
      <color rgb="FFFF0000"/>
      <name val="Calibri"/>
      <family val="2"/>
    </font>
    <font>
      <sz val="12"/>
      <color rgb="FFFF0000"/>
      <name val="Aptos Narrow"/>
      <scheme val="minor"/>
    </font>
    <font>
      <sz val="11"/>
      <color rgb="FF000000"/>
      <name val="Aptos Narrow"/>
      <scheme val="minor"/>
    </font>
    <font>
      <sz val="11"/>
      <color theme="1"/>
      <name val="Aptos Narrow"/>
      <family val="2"/>
      <scheme val="minor"/>
    </font>
    <font>
      <sz val="11"/>
      <color theme="1"/>
      <name val="Aptos Narrow"/>
      <scheme val="minor"/>
    </font>
    <font>
      <sz val="11"/>
      <color rgb="FF000000"/>
      <name val="Helvetica Neue"/>
      <family val="2"/>
    </font>
    <font>
      <sz val="11"/>
      <color rgb="FFFF0000"/>
      <name val="Aptos Narrow"/>
      <family val="2"/>
      <scheme val="minor"/>
    </font>
    <font>
      <sz val="14"/>
      <color rgb="FFFF0000"/>
      <name val="Aptos"/>
      <family val="2"/>
    </font>
    <font>
      <sz val="14"/>
      <name val="Aptos"/>
      <family val="2"/>
    </font>
    <font>
      <sz val="14"/>
      <color theme="1"/>
      <name val="Aptos"/>
      <family val="2"/>
    </font>
  </fonts>
  <fills count="34">
    <fill>
      <patternFill patternType="none"/>
    </fill>
    <fill>
      <patternFill patternType="gray125"/>
    </fill>
    <fill>
      <patternFill patternType="solid">
        <fgColor theme="3" tint="0.749992370372631"/>
        <bgColor indexed="64"/>
      </patternFill>
    </fill>
    <fill>
      <patternFill patternType="solid">
        <fgColor theme="0" tint="-0.14999847407452621"/>
        <bgColor indexed="64"/>
      </patternFill>
    </fill>
    <fill>
      <patternFill patternType="solid">
        <fgColor rgb="FF6BB6CC"/>
        <bgColor indexed="64"/>
      </patternFill>
    </fill>
    <fill>
      <patternFill patternType="solid">
        <fgColor theme="3" tint="9.9978637043366805E-2"/>
        <bgColor indexed="64"/>
      </patternFill>
    </fill>
    <fill>
      <patternFill patternType="solid">
        <fgColor theme="1" tint="0.499984740745262"/>
        <bgColor indexed="64"/>
      </patternFill>
    </fill>
    <fill>
      <patternFill patternType="solid">
        <fgColor rgb="FF4B7F8F"/>
        <bgColor indexed="64"/>
      </patternFill>
    </fill>
    <fill>
      <patternFill patternType="solid">
        <fgColor rgb="FFB8B3EE"/>
        <bgColor indexed="64"/>
      </patternFill>
    </fill>
    <fill>
      <patternFill patternType="solid">
        <fgColor rgb="FF7030A0"/>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1" tint="0.14999847407452621"/>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rgb="FFD9D9D9"/>
        <bgColor rgb="FF000000"/>
      </patternFill>
    </fill>
    <fill>
      <patternFill patternType="solid">
        <fgColor indexed="22"/>
      </patternFill>
    </fill>
    <fill>
      <patternFill patternType="solid">
        <fgColor rgb="FFFFFF00"/>
        <bgColor indexed="64"/>
      </patternFill>
    </fill>
    <fill>
      <patternFill patternType="solid">
        <fgColor theme="6" tint="0.79998168889431442"/>
        <bgColor indexed="64"/>
      </patternFill>
    </fill>
    <fill>
      <patternFill patternType="solid">
        <fgColor rgb="FFC0C0C0"/>
        <bgColor rgb="FF000000"/>
      </patternFill>
    </fill>
    <fill>
      <patternFill patternType="solid">
        <fgColor theme="9" tint="0.79998168889431442"/>
        <bgColor indexed="64"/>
      </patternFill>
    </fill>
    <fill>
      <patternFill patternType="solid">
        <fgColor theme="4" tint="-0.249977111117893"/>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F0000"/>
        <bgColor indexed="64"/>
      </patternFill>
    </fill>
    <fill>
      <patternFill patternType="solid">
        <fgColor rgb="FF00B050"/>
        <bgColor indexed="64"/>
      </patternFill>
    </fill>
    <fill>
      <patternFill patternType="solid">
        <fgColor theme="6" tint="0.39997558519241921"/>
        <bgColor indexed="64"/>
      </patternFill>
    </fill>
    <fill>
      <patternFill patternType="solid">
        <fgColor theme="5"/>
        <bgColor indexed="64"/>
      </patternFill>
    </fill>
    <fill>
      <patternFill patternType="solid">
        <fgColor theme="4" tint="0.59999389629810485"/>
        <bgColor indexed="64"/>
      </patternFill>
    </fill>
    <fill>
      <patternFill patternType="solid">
        <fgColor theme="9"/>
        <bgColor indexed="64"/>
      </patternFill>
    </fill>
    <fill>
      <patternFill patternType="solid">
        <fgColor theme="2" tint="-0.249977111117893"/>
        <bgColor indexed="64"/>
      </patternFill>
    </fill>
    <fill>
      <patternFill patternType="solid">
        <fgColor rgb="FFFFFFFF"/>
        <bgColor indexed="64"/>
      </patternFill>
    </fill>
    <fill>
      <patternFill patternType="solid">
        <fgColor theme="2"/>
        <bgColor indexed="64"/>
      </patternFill>
    </fill>
    <fill>
      <patternFill patternType="solid">
        <fgColor theme="0"/>
        <bgColor indexed="64"/>
      </patternFill>
    </fill>
  </fills>
  <borders count="2">
    <border>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s>
  <cellStyleXfs count="1">
    <xf numFmtId="0" fontId="0" fillId="0" borderId="0"/>
  </cellStyleXfs>
  <cellXfs count="153">
    <xf numFmtId="0" fontId="0" fillId="0" borderId="0" xfId="0"/>
    <xf numFmtId="0" fontId="2" fillId="0" borderId="0" xfId="0" applyFont="1"/>
    <xf numFmtId="0" fontId="2" fillId="3" borderId="0" xfId="0" applyFont="1" applyFill="1" applyAlignment="1">
      <alignment vertical="top" wrapText="1"/>
    </xf>
    <xf numFmtId="0" fontId="2" fillId="4" borderId="0" xfId="0" applyFont="1" applyFill="1" applyAlignment="1">
      <alignment vertical="top" wrapText="1"/>
    </xf>
    <xf numFmtId="0" fontId="2" fillId="8" borderId="0" xfId="0" applyFont="1" applyFill="1" applyAlignment="1">
      <alignment vertical="top" wrapText="1"/>
    </xf>
    <xf numFmtId="0" fontId="2" fillId="0" borderId="0" xfId="0" applyFont="1" applyAlignment="1">
      <alignment vertical="top" wrapText="1"/>
    </xf>
    <xf numFmtId="0" fontId="2" fillId="0" borderId="0" xfId="0" applyFont="1" applyAlignment="1">
      <alignment horizontal="left"/>
    </xf>
    <xf numFmtId="0" fontId="2" fillId="3" borderId="0" xfId="0" applyFont="1" applyFill="1" applyAlignment="1">
      <alignment horizontal="left" vertical="top" wrapText="1"/>
    </xf>
    <xf numFmtId="16" fontId="2" fillId="0" borderId="0" xfId="0" applyNumberFormat="1" applyFont="1" applyAlignment="1">
      <alignment horizontal="left"/>
    </xf>
    <xf numFmtId="0" fontId="2" fillId="2" borderId="0" xfId="0" applyFont="1" applyFill="1" applyAlignment="1">
      <alignment horizontal="left" vertical="top" wrapText="1"/>
    </xf>
    <xf numFmtId="164" fontId="2" fillId="0" borderId="0" xfId="0" applyNumberFormat="1" applyFont="1" applyAlignment="1">
      <alignment horizontal="left"/>
    </xf>
    <xf numFmtId="164" fontId="2" fillId="0" borderId="0" xfId="0" applyNumberFormat="1" applyFont="1"/>
    <xf numFmtId="20" fontId="2" fillId="0" borderId="0" xfId="0" applyNumberFormat="1" applyFont="1" applyAlignment="1">
      <alignment horizontal="left"/>
    </xf>
    <xf numFmtId="20" fontId="2" fillId="4" borderId="0" xfId="0" applyNumberFormat="1" applyFont="1" applyFill="1" applyAlignment="1">
      <alignment vertical="top" wrapText="1"/>
    </xf>
    <xf numFmtId="20" fontId="2" fillId="0" borderId="0" xfId="0" applyNumberFormat="1" applyFont="1"/>
    <xf numFmtId="164" fontId="2" fillId="8" borderId="0" xfId="0" applyNumberFormat="1" applyFont="1" applyFill="1" applyAlignment="1">
      <alignment vertical="top" wrapText="1"/>
    </xf>
    <xf numFmtId="0" fontId="2" fillId="14" borderId="0" xfId="0" applyFont="1" applyFill="1" applyAlignment="1">
      <alignment vertical="top" wrapText="1"/>
    </xf>
    <xf numFmtId="0" fontId="6" fillId="14" borderId="0" xfId="0" applyFont="1" applyFill="1" applyAlignment="1">
      <alignment vertical="top" wrapText="1"/>
    </xf>
    <xf numFmtId="0" fontId="2" fillId="14" borderId="0" xfId="0" applyFont="1" applyFill="1" applyAlignment="1">
      <alignment horizontal="left" vertical="top" wrapText="1"/>
    </xf>
    <xf numFmtId="0" fontId="6" fillId="14" borderId="0" xfId="0" applyFont="1" applyFill="1" applyAlignment="1">
      <alignment horizontal="left" vertical="top" wrapText="1"/>
    </xf>
    <xf numFmtId="0" fontId="2" fillId="0" borderId="0" xfId="0" applyFont="1" applyAlignment="1">
      <alignment wrapText="1"/>
    </xf>
    <xf numFmtId="0" fontId="6" fillId="15" borderId="0" xfId="0" applyFont="1" applyFill="1" applyAlignment="1">
      <alignment horizontal="left" wrapText="1"/>
    </xf>
    <xf numFmtId="16" fontId="6" fillId="0" borderId="0" xfId="0" applyNumberFormat="1" applyFont="1" applyAlignment="1">
      <alignment horizontal="left"/>
    </xf>
    <xf numFmtId="0" fontId="5" fillId="13" borderId="0" xfId="0" applyFont="1" applyFill="1" applyAlignment="1">
      <alignment horizontal="left" vertical="top" wrapText="1"/>
    </xf>
    <xf numFmtId="0" fontId="2" fillId="0" borderId="0" xfId="0" applyFont="1" applyAlignment="1">
      <alignment horizontal="left" vertical="top" wrapText="1"/>
    </xf>
    <xf numFmtId="0" fontId="2" fillId="11" borderId="0" xfId="0" applyFont="1" applyFill="1" applyAlignment="1">
      <alignment horizontal="left" vertical="top" wrapText="1"/>
    </xf>
    <xf numFmtId="0" fontId="2" fillId="17" borderId="0" xfId="0" applyFont="1" applyFill="1" applyAlignment="1">
      <alignment horizontal="left"/>
    </xf>
    <xf numFmtId="0" fontId="6" fillId="0" borderId="0" xfId="0" applyFont="1" applyAlignment="1">
      <alignment wrapText="1"/>
    </xf>
    <xf numFmtId="0" fontId="2" fillId="17" borderId="0" xfId="0" applyFont="1" applyFill="1" applyAlignment="1">
      <alignment vertical="top" wrapText="1"/>
    </xf>
    <xf numFmtId="0" fontId="2" fillId="17" borderId="0" xfId="0" applyFont="1" applyFill="1"/>
    <xf numFmtId="0" fontId="2" fillId="14" borderId="0" xfId="0" applyFont="1" applyFill="1" applyAlignment="1">
      <alignment horizontal="left"/>
    </xf>
    <xf numFmtId="0" fontId="2" fillId="18" borderId="0" xfId="0" applyFont="1" applyFill="1" applyAlignment="1">
      <alignment horizontal="left" vertical="top" wrapText="1"/>
    </xf>
    <xf numFmtId="20" fontId="2" fillId="18" borderId="0" xfId="0" applyNumberFormat="1" applyFont="1" applyFill="1" applyAlignment="1">
      <alignment vertical="top" wrapText="1"/>
    </xf>
    <xf numFmtId="0" fontId="4" fillId="14" borderId="0" xfId="0" applyFont="1" applyFill="1" applyAlignment="1">
      <alignment horizontal="left"/>
    </xf>
    <xf numFmtId="0" fontId="3" fillId="6" borderId="0" xfId="0" applyFont="1" applyFill="1" applyAlignment="1">
      <alignment horizontal="center"/>
    </xf>
    <xf numFmtId="0" fontId="2" fillId="0" borderId="1" xfId="0" applyFont="1" applyBorder="1" applyAlignment="1">
      <alignment horizontal="center"/>
    </xf>
    <xf numFmtId="16" fontId="2" fillId="20" borderId="1" xfId="0" applyNumberFormat="1" applyFont="1" applyFill="1" applyBorder="1" applyAlignment="1">
      <alignment horizontal="center"/>
    </xf>
    <xf numFmtId="0" fontId="2" fillId="20" borderId="1" xfId="0" applyFont="1" applyFill="1" applyBorder="1" applyAlignment="1">
      <alignment horizontal="center"/>
    </xf>
    <xf numFmtId="0" fontId="3" fillId="21" borderId="0" xfId="0" applyFont="1" applyFill="1" applyAlignment="1">
      <alignment horizontal="center"/>
    </xf>
    <xf numFmtId="0" fontId="8" fillId="0" borderId="0" xfId="0" applyFont="1"/>
    <xf numFmtId="0" fontId="0" fillId="16" borderId="0" xfId="0" applyFill="1" applyAlignment="1">
      <alignment horizontal="left"/>
    </xf>
    <xf numFmtId="0" fontId="8" fillId="0" borderId="0" xfId="0" applyFont="1" applyAlignment="1">
      <alignment horizontal="left"/>
    </xf>
    <xf numFmtId="0" fontId="0" fillId="0" borderId="0" xfId="0" applyAlignment="1">
      <alignment horizontal="left"/>
    </xf>
    <xf numFmtId="0" fontId="10" fillId="0" borderId="0" xfId="0" applyFont="1"/>
    <xf numFmtId="0" fontId="11" fillId="0" borderId="0" xfId="0" applyFont="1"/>
    <xf numFmtId="22" fontId="8" fillId="0" borderId="0" xfId="0" applyNumberFormat="1" applyFont="1"/>
    <xf numFmtId="0" fontId="2" fillId="0" borderId="0" xfId="0" applyFont="1" applyAlignment="1">
      <alignment horizontal="center"/>
    </xf>
    <xf numFmtId="0" fontId="0" fillId="0" borderId="0" xfId="0" applyAlignment="1">
      <alignment vertical="top"/>
    </xf>
    <xf numFmtId="0" fontId="2" fillId="13" borderId="0" xfId="0" applyFont="1" applyFill="1" applyAlignment="1">
      <alignment horizontal="left"/>
    </xf>
    <xf numFmtId="0" fontId="3" fillId="12" borderId="0" xfId="0" applyFont="1" applyFill="1" applyAlignment="1">
      <alignment horizontal="left" vertical="top" wrapText="1"/>
    </xf>
    <xf numFmtId="0" fontId="13" fillId="0" borderId="0" xfId="0" applyFont="1"/>
    <xf numFmtId="0" fontId="13" fillId="0" borderId="0" xfId="0" applyFont="1" applyAlignment="1">
      <alignment wrapText="1"/>
    </xf>
    <xf numFmtId="0" fontId="2" fillId="17" borderId="0" xfId="0" applyFont="1" applyFill="1" applyAlignment="1">
      <alignment horizontal="left" vertical="top" wrapText="1"/>
    </xf>
    <xf numFmtId="0" fontId="6" fillId="17" borderId="0" xfId="0" applyFont="1" applyFill="1" applyAlignment="1">
      <alignment horizontal="left" vertical="top" wrapText="1"/>
    </xf>
    <xf numFmtId="0" fontId="12" fillId="17" borderId="0" xfId="0" applyFont="1" applyFill="1" applyAlignment="1">
      <alignment horizontal="left"/>
    </xf>
    <xf numFmtId="22" fontId="2" fillId="0" borderId="0" xfId="0" applyNumberFormat="1" applyFont="1"/>
    <xf numFmtId="0" fontId="2" fillId="23" borderId="0" xfId="0" applyFont="1" applyFill="1" applyAlignment="1">
      <alignment horizontal="left"/>
    </xf>
    <xf numFmtId="0" fontId="13" fillId="0" borderId="0" xfId="0" applyFont="1" applyAlignment="1">
      <alignment vertical="center"/>
    </xf>
    <xf numFmtId="0" fontId="15" fillId="0" borderId="0" xfId="0" applyFont="1"/>
    <xf numFmtId="22" fontId="10" fillId="0" borderId="0" xfId="0" applyNumberFormat="1" applyFont="1"/>
    <xf numFmtId="49" fontId="10" fillId="0" borderId="0" xfId="0" applyNumberFormat="1" applyFont="1" applyAlignment="1">
      <alignment horizontal="left"/>
    </xf>
    <xf numFmtId="0" fontId="2" fillId="24" borderId="0" xfId="0" applyFont="1" applyFill="1" applyAlignment="1">
      <alignment horizontal="left"/>
    </xf>
    <xf numFmtId="0" fontId="16" fillId="0" borderId="0" xfId="0" applyFont="1"/>
    <xf numFmtId="0" fontId="0" fillId="17" borderId="0" xfId="0" applyFill="1" applyAlignment="1">
      <alignment horizontal="center"/>
    </xf>
    <xf numFmtId="0" fontId="0" fillId="0" borderId="0" xfId="0" applyAlignment="1">
      <alignment horizontal="center"/>
    </xf>
    <xf numFmtId="0" fontId="0" fillId="25" borderId="0" xfId="0" applyFill="1" applyAlignment="1">
      <alignment horizontal="center"/>
    </xf>
    <xf numFmtId="0" fontId="0" fillId="24" borderId="0" xfId="0" applyFill="1" applyAlignment="1">
      <alignment horizontal="center"/>
    </xf>
    <xf numFmtId="0" fontId="0" fillId="26" borderId="0" xfId="0" applyFill="1" applyAlignment="1">
      <alignment horizontal="center"/>
    </xf>
    <xf numFmtId="0" fontId="0" fillId="27" borderId="0" xfId="0" applyFill="1" applyAlignment="1">
      <alignment horizontal="center"/>
    </xf>
    <xf numFmtId="0" fontId="2" fillId="17" borderId="0" xfId="0" applyFont="1" applyFill="1" applyAlignment="1">
      <alignment wrapText="1"/>
    </xf>
    <xf numFmtId="0" fontId="6" fillId="0" borderId="0" xfId="0" applyFont="1"/>
    <xf numFmtId="0" fontId="0" fillId="28" borderId="0" xfId="0" applyFill="1" applyAlignment="1">
      <alignment horizontal="center"/>
    </xf>
    <xf numFmtId="0" fontId="0" fillId="22" borderId="0" xfId="0" applyFill="1" applyAlignment="1">
      <alignment horizontal="center"/>
    </xf>
    <xf numFmtId="16" fontId="2" fillId="17" borderId="0" xfId="0" applyNumberFormat="1" applyFont="1" applyFill="1" applyAlignment="1">
      <alignment horizontal="left"/>
    </xf>
    <xf numFmtId="0" fontId="0" fillId="29" borderId="0" xfId="0" applyFill="1" applyAlignment="1">
      <alignment horizontal="center"/>
    </xf>
    <xf numFmtId="0" fontId="3" fillId="0" borderId="0" xfId="0" applyFont="1" applyAlignment="1">
      <alignment horizontal="left" vertical="top" wrapText="1"/>
    </xf>
    <xf numFmtId="0" fontId="5" fillId="0" borderId="0" xfId="0" applyFont="1" applyAlignment="1">
      <alignment horizontal="left" vertical="top" wrapText="1"/>
    </xf>
    <xf numFmtId="0" fontId="2" fillId="6" borderId="0" xfId="0" applyFont="1" applyFill="1" applyAlignment="1">
      <alignment horizontal="left"/>
    </xf>
    <xf numFmtId="0" fontId="17" fillId="0" borderId="0" xfId="0" applyFont="1"/>
    <xf numFmtId="0" fontId="18" fillId="0" borderId="0" xfId="0" applyFont="1" applyAlignment="1">
      <alignment wrapText="1"/>
    </xf>
    <xf numFmtId="0" fontId="0" fillId="0" borderId="0" xfId="0" applyAlignment="1">
      <alignment wrapText="1"/>
    </xf>
    <xf numFmtId="49" fontId="18" fillId="0" borderId="0" xfId="0" applyNumberFormat="1" applyFont="1" applyAlignment="1">
      <alignment wrapText="1"/>
    </xf>
    <xf numFmtId="49" fontId="18" fillId="0" borderId="0" xfId="0" applyNumberFormat="1" applyFont="1"/>
    <xf numFmtId="0" fontId="18" fillId="0" borderId="0" xfId="0" applyFont="1"/>
    <xf numFmtId="49" fontId="13" fillId="0" borderId="0" xfId="0" applyNumberFormat="1" applyFont="1"/>
    <xf numFmtId="0" fontId="0" fillId="16" borderId="0" xfId="0" applyFill="1"/>
    <xf numFmtId="0" fontId="10" fillId="16" borderId="0" xfId="0" applyFont="1" applyFill="1"/>
    <xf numFmtId="22" fontId="0" fillId="0" borderId="0" xfId="0" applyNumberFormat="1"/>
    <xf numFmtId="49" fontId="10" fillId="0" borderId="0" xfId="0" applyNumberFormat="1" applyFont="1"/>
    <xf numFmtId="49" fontId="0" fillId="0" borderId="0" xfId="0" applyNumberFormat="1"/>
    <xf numFmtId="49" fontId="0" fillId="0" borderId="0" xfId="0" applyNumberFormat="1" applyAlignment="1">
      <alignment horizontal="left"/>
    </xf>
    <xf numFmtId="0" fontId="9" fillId="0" borderId="0" xfId="0" applyFont="1"/>
    <xf numFmtId="0" fontId="7" fillId="0" borderId="0" xfId="0" applyFont="1"/>
    <xf numFmtId="0" fontId="11" fillId="19" borderId="0" xfId="0" applyFont="1" applyFill="1" applyAlignment="1">
      <alignment vertical="top"/>
    </xf>
    <xf numFmtId="0" fontId="11" fillId="19" borderId="0" xfId="0" applyFont="1" applyFill="1" applyAlignment="1">
      <alignment vertical="top" wrapText="1"/>
    </xf>
    <xf numFmtId="0" fontId="11" fillId="0" borderId="0" xfId="0" quotePrefix="1" applyFont="1"/>
    <xf numFmtId="22" fontId="11" fillId="0" borderId="0" xfId="0" applyNumberFormat="1" applyFont="1"/>
    <xf numFmtId="0" fontId="11" fillId="0" borderId="0" xfId="0" applyFont="1" applyAlignment="1">
      <alignment vertical="center"/>
    </xf>
    <xf numFmtId="49" fontId="11" fillId="0" borderId="0" xfId="0" applyNumberFormat="1" applyFont="1" applyAlignment="1">
      <alignment wrapText="1"/>
    </xf>
    <xf numFmtId="49" fontId="11" fillId="0" borderId="0" xfId="0" applyNumberFormat="1" applyFont="1"/>
    <xf numFmtId="0" fontId="2" fillId="30" borderId="0" xfId="0" applyFont="1" applyFill="1"/>
    <xf numFmtId="0" fontId="2" fillId="30" borderId="0" xfId="0" applyFont="1" applyFill="1" applyAlignment="1">
      <alignment horizontal="left"/>
    </xf>
    <xf numFmtId="0" fontId="4" fillId="30" borderId="0" xfId="0" applyFont="1" applyFill="1" applyAlignment="1">
      <alignment horizontal="left"/>
    </xf>
    <xf numFmtId="20" fontId="2" fillId="30" borderId="0" xfId="0" applyNumberFormat="1" applyFont="1" applyFill="1"/>
    <xf numFmtId="164" fontId="2" fillId="30" borderId="0" xfId="0" applyNumberFormat="1" applyFont="1" applyFill="1"/>
    <xf numFmtId="0" fontId="2" fillId="30" borderId="0" xfId="0" applyFont="1" applyFill="1" applyAlignment="1">
      <alignment horizontal="left" vertical="top" wrapText="1"/>
    </xf>
    <xf numFmtId="0" fontId="2" fillId="24" borderId="0" xfId="0" applyFont="1" applyFill="1"/>
    <xf numFmtId="0" fontId="19" fillId="31" borderId="0" xfId="0" applyFont="1" applyFill="1"/>
    <xf numFmtId="0" fontId="0" fillId="17" borderId="0" xfId="0" applyFill="1"/>
    <xf numFmtId="49" fontId="0" fillId="17" borderId="0" xfId="0" applyNumberFormat="1" applyFill="1"/>
    <xf numFmtId="0" fontId="8" fillId="17" borderId="0" xfId="0" applyFont="1" applyFill="1"/>
    <xf numFmtId="49" fontId="10" fillId="17" borderId="0" xfId="0" applyNumberFormat="1" applyFont="1" applyFill="1"/>
    <xf numFmtId="0" fontId="13" fillId="17" borderId="0" xfId="0" applyFont="1" applyFill="1" applyAlignment="1">
      <alignment vertical="center"/>
    </xf>
    <xf numFmtId="0" fontId="13" fillId="17" borderId="0" xfId="0" applyFont="1" applyFill="1"/>
    <xf numFmtId="49" fontId="13" fillId="17" borderId="0" xfId="0" applyNumberFormat="1" applyFont="1" applyFill="1"/>
    <xf numFmtId="0" fontId="2" fillId="32" borderId="0" xfId="0" applyFont="1" applyFill="1"/>
    <xf numFmtId="0" fontId="2" fillId="33" borderId="0" xfId="0" applyFont="1" applyFill="1" applyAlignment="1">
      <alignment horizontal="left"/>
    </xf>
    <xf numFmtId="0" fontId="11" fillId="0" borderId="0" xfId="0" applyFont="1" applyAlignment="1">
      <alignment vertical="center" wrapText="1"/>
    </xf>
    <xf numFmtId="1" fontId="0" fillId="16" borderId="0" xfId="0" applyNumberFormat="1" applyFill="1"/>
    <xf numFmtId="1" fontId="0" fillId="0" borderId="0" xfId="0" applyNumberFormat="1"/>
    <xf numFmtId="1" fontId="8" fillId="0" borderId="0" xfId="0" applyNumberFormat="1" applyFont="1"/>
    <xf numFmtId="1" fontId="10" fillId="0" borderId="0" xfId="0" applyNumberFormat="1" applyFont="1"/>
    <xf numFmtId="22" fontId="20" fillId="0" borderId="0" xfId="0" applyNumberFormat="1" applyFont="1"/>
    <xf numFmtId="1" fontId="20" fillId="0" borderId="0" xfId="0" applyNumberFormat="1" applyFont="1"/>
    <xf numFmtId="0" fontId="21" fillId="0" borderId="0" xfId="0" applyFont="1"/>
    <xf numFmtId="0" fontId="22" fillId="0" borderId="0" xfId="0" applyFont="1" applyAlignment="1">
      <alignment vertical="center"/>
    </xf>
    <xf numFmtId="0" fontId="22" fillId="0" borderId="0" xfId="0" applyFont="1"/>
    <xf numFmtId="0" fontId="23" fillId="0" borderId="0" xfId="0" applyFont="1"/>
    <xf numFmtId="0" fontId="24" fillId="0" borderId="0" xfId="0" applyFont="1" applyAlignment="1">
      <alignment vertical="center"/>
    </xf>
    <xf numFmtId="0" fontId="24" fillId="0" borderId="0" xfId="0" applyFont="1"/>
    <xf numFmtId="49" fontId="24" fillId="0" borderId="0" xfId="0" applyNumberFormat="1" applyFont="1"/>
    <xf numFmtId="0" fontId="25" fillId="16" borderId="0" xfId="0" applyFont="1" applyFill="1"/>
    <xf numFmtId="49" fontId="26" fillId="0" borderId="0" xfId="0" applyNumberFormat="1" applyFont="1"/>
    <xf numFmtId="0" fontId="27" fillId="0" borderId="0" xfId="0" applyFont="1"/>
    <xf numFmtId="49" fontId="25" fillId="0" borderId="0" xfId="0" applyNumberFormat="1" applyFont="1"/>
    <xf numFmtId="0" fontId="25" fillId="0" borderId="0" xfId="0" applyFont="1"/>
    <xf numFmtId="0" fontId="28" fillId="0" borderId="0" xfId="0" applyFont="1"/>
    <xf numFmtId="0" fontId="29" fillId="17" borderId="0" xfId="0" applyFont="1" applyFill="1" applyAlignment="1">
      <alignment horizontal="left"/>
    </xf>
    <xf numFmtId="0" fontId="30" fillId="0" borderId="0" xfId="0" applyFont="1" applyAlignment="1">
      <alignment horizontal="left"/>
    </xf>
    <xf numFmtId="0" fontId="5" fillId="13" borderId="0" xfId="0" applyFont="1" applyFill="1" applyAlignment="1">
      <alignment horizontal="center" vertical="top" wrapText="1"/>
    </xf>
    <xf numFmtId="0" fontId="3" fillId="6" borderId="0" xfId="0" applyFont="1" applyFill="1" applyAlignment="1">
      <alignment horizontal="center"/>
    </xf>
    <xf numFmtId="0" fontId="3" fillId="7" borderId="0" xfId="0" applyFont="1" applyFill="1" applyAlignment="1">
      <alignment horizontal="center"/>
    </xf>
    <xf numFmtId="0" fontId="3" fillId="9" borderId="0" xfId="0" applyFont="1" applyFill="1" applyAlignment="1">
      <alignment horizontal="center"/>
    </xf>
    <xf numFmtId="0" fontId="4" fillId="9" borderId="0" xfId="0" applyFont="1" applyFill="1" applyAlignment="1">
      <alignment horizontal="center"/>
    </xf>
    <xf numFmtId="0" fontId="3" fillId="10" borderId="0" xfId="0" applyFont="1" applyFill="1" applyAlignment="1">
      <alignment horizontal="left"/>
    </xf>
    <xf numFmtId="0" fontId="4" fillId="22" borderId="0" xfId="0" applyFont="1" applyFill="1" applyAlignment="1">
      <alignment horizontal="center"/>
    </xf>
    <xf numFmtId="0" fontId="3" fillId="5" borderId="0" xfId="0" applyFont="1" applyFill="1" applyAlignment="1">
      <alignment horizontal="center"/>
    </xf>
    <xf numFmtId="0" fontId="12" fillId="0" borderId="0" xfId="0" applyFont="1" applyFill="1" applyAlignment="1">
      <alignment horizontal="left"/>
    </xf>
    <xf numFmtId="0" fontId="30" fillId="0" borderId="0" xfId="0" applyFont="1" applyFill="1" applyAlignment="1">
      <alignment horizontal="left"/>
    </xf>
    <xf numFmtId="0" fontId="2" fillId="0" borderId="0" xfId="0" applyFont="1" applyFill="1" applyAlignment="1">
      <alignment horizontal="left"/>
    </xf>
    <xf numFmtId="0" fontId="30" fillId="0" borderId="0" xfId="0" applyFont="1" applyFill="1" applyAlignment="1">
      <alignment horizontal="center" wrapText="1"/>
    </xf>
    <xf numFmtId="0" fontId="31" fillId="17" borderId="0" xfId="0" applyFont="1" applyFill="1" applyAlignment="1">
      <alignment horizontal="center" wrapText="1"/>
    </xf>
    <xf numFmtId="0" fontId="2" fillId="17" borderId="0" xfId="0" applyFont="1" applyFill="1" applyAlignment="1">
      <alignment horizontal="center" wrapText="1"/>
    </xf>
  </cellXfs>
  <cellStyles count="1">
    <cellStyle name="Normal" xfId="0" builtinId="0"/>
  </cellStyles>
  <dxfs count="7">
    <dxf>
      <font>
        <b/>
        <i val="0"/>
        <color theme="1"/>
      </font>
      <fill>
        <patternFill>
          <bgColor rgb="FFFFC7CE"/>
        </patternFill>
      </fill>
    </dxf>
    <dxf>
      <font>
        <b/>
        <i val="0"/>
        <color theme="1"/>
      </font>
      <fill>
        <patternFill patternType="solid">
          <bgColor theme="6" tint="0.59999389629810485"/>
        </patternFill>
      </fill>
    </dxf>
    <dxf>
      <font>
        <b/>
        <i val="0"/>
        <strike val="0"/>
        <color theme="1"/>
      </font>
      <numFmt numFmtId="0" formatCode="General"/>
      <fill>
        <patternFill>
          <bgColor rgb="FFFFFF00"/>
        </patternFill>
      </fill>
    </dxf>
    <dxf>
      <font>
        <color rgb="FF9C5700"/>
      </font>
      <fill>
        <patternFill>
          <bgColor rgb="FFFFEB9C"/>
        </patternFill>
      </fill>
    </dxf>
    <dxf>
      <font>
        <color rgb="FF006100"/>
      </font>
      <fill>
        <patternFill>
          <bgColor rgb="FFC6EFCE"/>
        </patternFill>
      </fill>
    </dxf>
    <dxf>
      <fill>
        <patternFill patternType="solid">
          <bgColor theme="8" tint="0.59999389629810485"/>
        </patternFill>
      </fill>
    </dxf>
    <dxf>
      <font>
        <color theme="1"/>
      </font>
      <fill>
        <patternFill patternType="solid">
          <bgColor theme="3" tint="0.749992370372631"/>
        </patternFill>
      </fill>
    </dxf>
  </dxfs>
  <tableStyles count="0" defaultTableStyle="TableStyleMedium2" defaultPivotStyle="PivotStyleLight16"/>
  <colors>
    <mruColors>
      <color rgb="FF4B7F8F"/>
      <color rgb="FFB8B3EE"/>
      <color rgb="FF6BB6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B3AA344-9DA7-3547-AFDB-24D48EECF758}" name="Table4" displayName="Table4" ref="A1:A5" totalsRowShown="0">
  <autoFilter ref="A1:A5" xr:uid="{CB3AA344-9DA7-3547-AFDB-24D48EECF758}"/>
  <tableColumns count="1">
    <tableColumn id="1" xr3:uid="{8C84BC82-4F9B-4F48-AE40-F0F50C465DC7}" name="Sea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1D1B2-08B9-DA42-82A5-120AB4E517AD}">
  <dimension ref="A1:BQ218"/>
  <sheetViews>
    <sheetView tabSelected="1" zoomScale="70" zoomScaleNormal="70" workbookViewId="0">
      <pane xSplit="1" ySplit="2" topLeftCell="B3" activePane="bottomRight" state="frozen"/>
      <selection pane="topRight"/>
      <selection pane="bottomLeft" activeCell="A3" sqref="A3"/>
      <selection pane="bottomRight" activeCell="E26" sqref="E26"/>
    </sheetView>
  </sheetViews>
  <sheetFormatPr defaultColWidth="10.875" defaultRowHeight="0" customHeight="1" zeroHeight="1"/>
  <cols>
    <col min="1" max="1" width="9.375" style="29" bestFit="1" customWidth="1"/>
    <col min="2" max="2" width="11.625" style="6" bestFit="1" customWidth="1"/>
    <col min="3" max="3" width="5.625" style="1" customWidth="1"/>
    <col min="4" max="7" width="10.125" style="6" customWidth="1"/>
    <col min="8" max="8" width="10" style="33" customWidth="1"/>
    <col min="9" max="9" width="10" style="33" bestFit="1" customWidth="1"/>
    <col min="10" max="10" width="8.125" style="6" bestFit="1" customWidth="1"/>
    <col min="11" max="11" width="9.625" style="6" customWidth="1"/>
    <col min="12" max="12" width="16.125" style="6" customWidth="1"/>
    <col min="13" max="13" width="10" style="6" customWidth="1"/>
    <col min="14" max="14" width="19" style="6" customWidth="1"/>
    <col min="15" max="15" width="20.5" style="6" customWidth="1"/>
    <col min="16" max="16" width="18.5" style="6" customWidth="1"/>
    <col min="17" max="18" width="16.5" style="6" customWidth="1"/>
    <col min="19" max="19" width="17" style="6" customWidth="1"/>
    <col min="20" max="20" width="16.375" style="6" customWidth="1"/>
    <col min="21" max="21" width="14.375" style="6" customWidth="1"/>
    <col min="22" max="22" width="12.875" style="6" customWidth="1"/>
    <col min="23" max="23" width="12.5" style="6" bestFit="1" customWidth="1"/>
    <col min="24" max="24" width="14" style="6" customWidth="1"/>
    <col min="25" max="25" width="20.625" style="6" bestFit="1" customWidth="1"/>
    <col min="26" max="26" width="13" style="6" bestFit="1" customWidth="1"/>
    <col min="27" max="27" width="14.875" style="6" customWidth="1"/>
    <col min="28" max="28" width="21" style="6" bestFit="1" customWidth="1"/>
    <col min="29" max="29" width="10.875" style="6"/>
    <col min="30" max="30" width="11.625" style="6" bestFit="1" customWidth="1"/>
    <col min="31" max="31" width="20" style="6" bestFit="1" customWidth="1"/>
    <col min="32" max="36" width="11.375" style="14" customWidth="1"/>
    <col min="37" max="37" width="12.375" style="14" customWidth="1"/>
    <col min="38" max="38" width="47" style="1" customWidth="1"/>
    <col min="39" max="39" width="14" style="11" customWidth="1"/>
    <col min="40" max="40" width="13.875" style="11" customWidth="1"/>
    <col min="41" max="41" width="48.625" style="1" customWidth="1"/>
    <col min="42" max="43" width="9" style="1"/>
    <col min="44" max="44" width="10.125" style="6" bestFit="1" customWidth="1"/>
    <col min="45" max="45" width="11" style="6" bestFit="1" customWidth="1"/>
    <col min="46" max="46" width="10" style="6" bestFit="1" customWidth="1"/>
    <col min="47" max="47" width="10.125" style="6" bestFit="1" customWidth="1"/>
    <col min="48" max="48" width="10.375" style="6" customWidth="1"/>
    <col min="49" max="49" width="10.875" style="6" customWidth="1"/>
    <col min="50" max="53" width="10.875" style="6"/>
    <col min="54" max="54" width="73.625" style="24" customWidth="1"/>
    <col min="55" max="55" width="12.625" style="24" customWidth="1"/>
    <col min="56" max="56" width="10.875" style="1"/>
    <col min="57" max="57" width="84.875" style="1" customWidth="1"/>
    <col min="58" max="16384" width="10.875" style="1"/>
  </cols>
  <sheetData>
    <row r="1" spans="1:63" ht="20.100000000000001" customHeight="1">
      <c r="A1" s="34"/>
      <c r="B1" s="140" t="s">
        <v>0</v>
      </c>
      <c r="C1" s="140"/>
      <c r="D1" s="140"/>
      <c r="E1" s="34"/>
      <c r="F1" s="34"/>
      <c r="G1" s="34"/>
      <c r="H1" s="38"/>
      <c r="I1" s="146" t="s">
        <v>1</v>
      </c>
      <c r="J1" s="146"/>
      <c r="K1" s="146"/>
      <c r="L1" s="146"/>
      <c r="M1" s="146"/>
      <c r="N1" s="146"/>
      <c r="O1" s="146"/>
      <c r="P1" s="146"/>
      <c r="Q1" s="146"/>
      <c r="R1" s="146"/>
      <c r="S1" s="146"/>
      <c r="T1" s="146"/>
      <c r="U1" s="146"/>
      <c r="V1" s="146"/>
      <c r="W1" s="146" t="s">
        <v>2</v>
      </c>
      <c r="X1" s="146"/>
      <c r="Y1" s="146"/>
      <c r="Z1" s="146"/>
      <c r="AA1" s="146"/>
      <c r="AB1" s="146"/>
      <c r="AC1" s="146"/>
      <c r="AD1" s="146"/>
      <c r="AE1" s="146"/>
      <c r="AF1" s="141" t="s">
        <v>3</v>
      </c>
      <c r="AG1" s="141"/>
      <c r="AH1" s="141"/>
      <c r="AI1" s="141"/>
      <c r="AJ1" s="141"/>
      <c r="AK1" s="141"/>
      <c r="AL1" s="141"/>
      <c r="AM1" s="142" t="s">
        <v>4</v>
      </c>
      <c r="AN1" s="143"/>
      <c r="AO1" s="143"/>
      <c r="AP1" s="145" t="s">
        <v>5</v>
      </c>
      <c r="AQ1" s="145"/>
      <c r="AR1" s="145"/>
      <c r="AS1" s="145"/>
      <c r="AT1" s="145"/>
      <c r="AU1" s="145"/>
      <c r="AV1" s="144" t="s">
        <v>6</v>
      </c>
      <c r="AW1" s="144"/>
      <c r="AX1" s="144"/>
      <c r="AY1" s="144"/>
      <c r="AZ1" s="144"/>
      <c r="BA1" s="144"/>
      <c r="BB1" s="49" t="s">
        <v>7</v>
      </c>
      <c r="BC1" s="75"/>
    </row>
    <row r="2" spans="1:63" s="5" customFormat="1" ht="108.75" customHeight="1">
      <c r="A2" s="28" t="s">
        <v>8</v>
      </c>
      <c r="B2" s="21" t="s">
        <v>9</v>
      </c>
      <c r="C2" s="2" t="s">
        <v>10</v>
      </c>
      <c r="D2" s="7" t="s">
        <v>11</v>
      </c>
      <c r="E2" s="7" t="s">
        <v>2413</v>
      </c>
      <c r="F2" s="7" t="s">
        <v>2414</v>
      </c>
      <c r="G2" s="7" t="s">
        <v>12</v>
      </c>
      <c r="H2" s="31" t="s">
        <v>13</v>
      </c>
      <c r="I2" s="31" t="s">
        <v>14</v>
      </c>
      <c r="J2" s="31" t="s">
        <v>15</v>
      </c>
      <c r="K2" s="31" t="s">
        <v>16</v>
      </c>
      <c r="L2" s="31" t="s">
        <v>17</v>
      </c>
      <c r="M2" s="31" t="s">
        <v>18</v>
      </c>
      <c r="N2" s="31" t="s">
        <v>19</v>
      </c>
      <c r="O2" s="31" t="s">
        <v>20</v>
      </c>
      <c r="P2" s="31" t="s">
        <v>21</v>
      </c>
      <c r="Q2" s="31" t="s">
        <v>22</v>
      </c>
      <c r="R2" s="32" t="s">
        <v>23</v>
      </c>
      <c r="S2" s="32" t="s">
        <v>24</v>
      </c>
      <c r="T2" s="32" t="s">
        <v>25</v>
      </c>
      <c r="U2" s="32" t="s">
        <v>26</v>
      </c>
      <c r="V2" s="32" t="s">
        <v>27</v>
      </c>
      <c r="W2" s="9" t="s">
        <v>28</v>
      </c>
      <c r="X2" s="9" t="s">
        <v>29</v>
      </c>
      <c r="Y2" s="9" t="s">
        <v>30</v>
      </c>
      <c r="Z2" s="9" t="s">
        <v>31</v>
      </c>
      <c r="AA2" s="9" t="s">
        <v>32</v>
      </c>
      <c r="AB2" s="9" t="s">
        <v>33</v>
      </c>
      <c r="AC2" s="9" t="s">
        <v>34</v>
      </c>
      <c r="AD2" s="9" t="s">
        <v>35</v>
      </c>
      <c r="AE2" s="9" t="s">
        <v>36</v>
      </c>
      <c r="AF2" s="13" t="s">
        <v>37</v>
      </c>
      <c r="AG2" s="13" t="s">
        <v>38</v>
      </c>
      <c r="AH2" s="13" t="s">
        <v>39</v>
      </c>
      <c r="AI2" s="13" t="s">
        <v>40</v>
      </c>
      <c r="AJ2" s="13" t="s">
        <v>41</v>
      </c>
      <c r="AK2" s="13" t="s">
        <v>42</v>
      </c>
      <c r="AL2" s="3" t="s">
        <v>43</v>
      </c>
      <c r="AM2" s="15" t="s">
        <v>44</v>
      </c>
      <c r="AN2" s="15" t="s">
        <v>45</v>
      </c>
      <c r="AO2" s="4" t="s">
        <v>46</v>
      </c>
      <c r="AP2" s="16" t="s">
        <v>47</v>
      </c>
      <c r="AQ2" s="17" t="s">
        <v>48</v>
      </c>
      <c r="AR2" s="18" t="s">
        <v>49</v>
      </c>
      <c r="AS2" s="18" t="s">
        <v>50</v>
      </c>
      <c r="AT2" s="19" t="s">
        <v>51</v>
      </c>
      <c r="AU2" s="18" t="s">
        <v>49</v>
      </c>
      <c r="AV2" s="25" t="s">
        <v>52</v>
      </c>
      <c r="AW2" s="25" t="s">
        <v>53</v>
      </c>
      <c r="AX2" s="25" t="s">
        <v>54</v>
      </c>
      <c r="AY2" s="25" t="s">
        <v>55</v>
      </c>
      <c r="AZ2" s="25" t="s">
        <v>56</v>
      </c>
      <c r="BA2" s="25" t="s">
        <v>57</v>
      </c>
      <c r="BB2" s="23" t="s">
        <v>58</v>
      </c>
      <c r="BC2" s="76" t="s">
        <v>59</v>
      </c>
      <c r="BD2" s="139" t="s">
        <v>60</v>
      </c>
      <c r="BE2" s="139"/>
      <c r="BF2" s="139"/>
      <c r="BG2" s="139"/>
      <c r="BH2" s="139"/>
      <c r="BI2" s="139"/>
      <c r="BJ2" s="139"/>
      <c r="BK2" s="139"/>
    </row>
    <row r="3" spans="1:63" s="6" customFormat="1" ht="20.100000000000001" customHeight="1">
      <c r="A3" s="26" t="s">
        <v>61</v>
      </c>
      <c r="B3" s="22">
        <v>45466</v>
      </c>
      <c r="C3" s="6" t="s">
        <v>62</v>
      </c>
      <c r="D3" s="6">
        <v>29</v>
      </c>
      <c r="G3" s="6" t="s">
        <v>63</v>
      </c>
      <c r="H3" s="33" t="str">
        <f t="shared" ref="H3:H34" si="0">IF(OR(AND(G3="Male",J3&gt;=25),AND(G3="Female",J3&gt;=32)),"Yes","No")</f>
        <v>No</v>
      </c>
      <c r="I3" s="33">
        <v>80</v>
      </c>
      <c r="J3" s="6">
        <v>19.3</v>
      </c>
      <c r="K3" s="6">
        <v>8</v>
      </c>
      <c r="L3" s="6">
        <v>1798</v>
      </c>
      <c r="M3" s="6">
        <v>35</v>
      </c>
      <c r="N3" s="6">
        <v>38.299999999999997</v>
      </c>
      <c r="O3" s="6">
        <v>28.5</v>
      </c>
      <c r="P3" s="6">
        <v>52.2</v>
      </c>
      <c r="Q3" s="6">
        <v>13.6</v>
      </c>
      <c r="R3" s="6">
        <v>17.5</v>
      </c>
      <c r="S3" s="6">
        <v>12</v>
      </c>
      <c r="T3" s="6">
        <v>17.100000000000001</v>
      </c>
      <c r="U3" s="30">
        <v>23.4</v>
      </c>
      <c r="V3" s="6">
        <v>41</v>
      </c>
      <c r="W3" s="6">
        <f>57.3-16.1</f>
        <v>41.199999999999996</v>
      </c>
      <c r="Y3" s="56">
        <f>AVERAGE(W3,X3)</f>
        <v>41.199999999999996</v>
      </c>
      <c r="Z3" s="6">
        <v>49.5</v>
      </c>
      <c r="AB3" s="56">
        <f>AVERAGE(Z3,AA3)</f>
        <v>49.5</v>
      </c>
      <c r="AC3" s="6">
        <v>53.6</v>
      </c>
      <c r="AE3" s="56">
        <f>AVERAGE(AC3,AD3)</f>
        <v>53.6</v>
      </c>
      <c r="AF3" s="12" t="s">
        <v>64</v>
      </c>
      <c r="AG3" s="12" t="s">
        <v>65</v>
      </c>
      <c r="AH3" s="12" t="s">
        <v>66</v>
      </c>
      <c r="AI3" s="12" t="s">
        <v>67</v>
      </c>
      <c r="AJ3" s="12" t="s">
        <v>68</v>
      </c>
      <c r="AK3" s="12" t="s">
        <v>69</v>
      </c>
      <c r="AM3" s="10" t="s">
        <v>64</v>
      </c>
      <c r="AN3" s="10" t="s">
        <v>70</v>
      </c>
      <c r="AP3" s="6" t="s">
        <v>65</v>
      </c>
      <c r="AQ3" s="6" t="s">
        <v>66</v>
      </c>
      <c r="AR3" s="6">
        <v>5</v>
      </c>
      <c r="AS3" s="6" t="s">
        <v>71</v>
      </c>
      <c r="AT3" s="6" t="s">
        <v>68</v>
      </c>
      <c r="AU3" s="6">
        <v>5</v>
      </c>
      <c r="AV3" s="36"/>
      <c r="AW3" s="36"/>
      <c r="AX3" s="36"/>
      <c r="AY3" s="36"/>
      <c r="AZ3" s="36"/>
      <c r="BA3" s="35"/>
      <c r="BB3" s="24" t="s">
        <v>72</v>
      </c>
      <c r="BC3" s="24" t="str">
        <f>IF(AND(G3="Male", J3&gt;25, U3&gt;24.9), "Obese", IF(AND(G3="Female", J3&gt;32, U3&gt;24.9), "Obese", "Not Obese"))</f>
        <v>Not Obese</v>
      </c>
      <c r="BE3" s="1" t="s">
        <v>73</v>
      </c>
    </row>
    <row r="4" spans="1:63" ht="39.950000000000003" customHeight="1">
      <c r="A4" s="29" t="s">
        <v>74</v>
      </c>
      <c r="B4" s="22">
        <v>45466</v>
      </c>
      <c r="C4" s="1" t="s">
        <v>75</v>
      </c>
      <c r="D4" s="6">
        <v>32</v>
      </c>
      <c r="G4" s="6" t="s">
        <v>63</v>
      </c>
      <c r="H4" s="33" t="str">
        <f t="shared" si="0"/>
        <v>No</v>
      </c>
      <c r="I4" s="33">
        <v>75.7</v>
      </c>
      <c r="J4" s="6">
        <v>14.9</v>
      </c>
      <c r="K4" s="6">
        <v>6</v>
      </c>
      <c r="L4" s="6">
        <v>1754</v>
      </c>
      <c r="M4" s="6">
        <v>37.200000000000003</v>
      </c>
      <c r="N4" s="6">
        <v>40</v>
      </c>
      <c r="O4" s="6">
        <v>31.4</v>
      </c>
      <c r="P4" s="6">
        <v>54.3</v>
      </c>
      <c r="Q4" s="6">
        <v>10.6</v>
      </c>
      <c r="R4" s="6">
        <v>13.4</v>
      </c>
      <c r="S4" s="6">
        <v>9.3000000000000007</v>
      </c>
      <c r="T4" s="6">
        <v>12.7</v>
      </c>
      <c r="U4" s="30">
        <v>22.1</v>
      </c>
      <c r="V4" s="6">
        <v>35</v>
      </c>
      <c r="W4" s="6">
        <v>40.1</v>
      </c>
      <c r="Y4" s="56">
        <f t="shared" ref="Y4:Y15" si="1">AVERAGE(W4,X4)</f>
        <v>40.1</v>
      </c>
      <c r="Z4" s="6">
        <v>47</v>
      </c>
      <c r="AB4" s="56">
        <f t="shared" ref="AB4:AB24" si="2">AVERAGE(Z4,AA4)</f>
        <v>47</v>
      </c>
      <c r="AC4" s="6">
        <v>50.5</v>
      </c>
      <c r="AE4" s="56">
        <f t="shared" ref="AE4:AE23" si="3">AVERAGE(AC4,AD4)</f>
        <v>50.5</v>
      </c>
      <c r="AF4" s="14" t="s">
        <v>76</v>
      </c>
      <c r="AG4" s="14" t="s">
        <v>77</v>
      </c>
      <c r="AH4" s="14" t="s">
        <v>78</v>
      </c>
      <c r="AI4" s="14" t="s">
        <v>79</v>
      </c>
      <c r="AJ4" s="14" t="s">
        <v>80</v>
      </c>
      <c r="AK4" s="14" t="s">
        <v>70</v>
      </c>
      <c r="AM4" s="11" t="s">
        <v>76</v>
      </c>
      <c r="AN4" s="11" t="s">
        <v>81</v>
      </c>
      <c r="AO4" s="20" t="s">
        <v>82</v>
      </c>
      <c r="AP4" s="1" t="s">
        <v>77</v>
      </c>
      <c r="AQ4" s="1" t="s">
        <v>78</v>
      </c>
      <c r="AR4" s="6">
        <v>5</v>
      </c>
      <c r="AS4" s="6" t="s">
        <v>79</v>
      </c>
      <c r="AT4" s="6" t="s">
        <v>80</v>
      </c>
      <c r="AU4" s="6">
        <v>5</v>
      </c>
      <c r="AV4" s="36"/>
      <c r="AW4" s="36"/>
      <c r="AX4" s="36"/>
      <c r="AY4" s="36"/>
      <c r="AZ4" s="36"/>
      <c r="BA4" s="35"/>
      <c r="BC4" s="24" t="str">
        <f t="shared" ref="BC4:BC67" si="4">IF(AND(G4="Male", J4&gt;25, U4&gt;24.9), "Obese", IF(AND(G4="Female", J4&gt;32, U4&gt;24.9), "Obese", "Not Obese"))</f>
        <v>Not Obese</v>
      </c>
      <c r="BD4" s="6"/>
      <c r="BE4" s="1" t="s">
        <v>73</v>
      </c>
    </row>
    <row r="5" spans="1:63" ht="80.099999999999994" customHeight="1">
      <c r="A5" s="29" t="s">
        <v>83</v>
      </c>
      <c r="B5" s="22">
        <v>45466</v>
      </c>
      <c r="C5" s="1" t="s">
        <v>84</v>
      </c>
      <c r="D5" s="6">
        <v>30</v>
      </c>
      <c r="G5" s="6" t="s">
        <v>85</v>
      </c>
      <c r="H5" s="33" t="str">
        <f t="shared" si="0"/>
        <v>No</v>
      </c>
      <c r="I5" s="33">
        <v>59.4</v>
      </c>
      <c r="J5" s="6">
        <v>30.6</v>
      </c>
      <c r="K5" s="6">
        <v>4.5</v>
      </c>
      <c r="L5" s="6">
        <v>1261</v>
      </c>
      <c r="M5" s="6">
        <v>25.6</v>
      </c>
      <c r="N5" s="6">
        <v>27.4</v>
      </c>
      <c r="O5" s="6">
        <v>19.5</v>
      </c>
      <c r="P5" s="6">
        <v>37.5</v>
      </c>
      <c r="Q5" s="6">
        <v>25.1</v>
      </c>
      <c r="R5" s="6">
        <v>41.2</v>
      </c>
      <c r="S5" s="6">
        <v>21.7</v>
      </c>
      <c r="T5" s="6">
        <v>34.299999999999997</v>
      </c>
      <c r="U5" s="30">
        <v>21.3</v>
      </c>
      <c r="V5" s="6">
        <v>52</v>
      </c>
      <c r="W5" s="6">
        <v>40.799999999999997</v>
      </c>
      <c r="X5" s="6">
        <v>41.3</v>
      </c>
      <c r="Y5" s="56">
        <f t="shared" si="1"/>
        <v>41.05</v>
      </c>
      <c r="Z5" s="6">
        <v>48.4</v>
      </c>
      <c r="AA5" s="6">
        <v>48.4</v>
      </c>
      <c r="AB5" s="56">
        <f t="shared" si="2"/>
        <v>48.4</v>
      </c>
      <c r="AC5" s="6">
        <v>45</v>
      </c>
      <c r="AD5" s="6">
        <v>47</v>
      </c>
      <c r="AE5" s="56">
        <f t="shared" si="3"/>
        <v>46</v>
      </c>
      <c r="AF5" s="14" t="s">
        <v>86</v>
      </c>
      <c r="AG5" s="14" t="s">
        <v>87</v>
      </c>
      <c r="AH5" s="14" t="s">
        <v>88</v>
      </c>
      <c r="AI5" s="14" t="s">
        <v>89</v>
      </c>
      <c r="AJ5" s="14" t="s">
        <v>67</v>
      </c>
      <c r="AK5" s="14" t="s">
        <v>90</v>
      </c>
      <c r="AM5" s="11" t="s">
        <v>91</v>
      </c>
      <c r="AN5" s="11" t="s">
        <v>90</v>
      </c>
      <c r="AO5" s="69" t="s">
        <v>92</v>
      </c>
      <c r="AP5" s="1" t="s">
        <v>93</v>
      </c>
      <c r="AQ5" s="1" t="s">
        <v>94</v>
      </c>
      <c r="AR5" s="6">
        <v>6</v>
      </c>
      <c r="AS5" s="6" t="s">
        <v>89</v>
      </c>
      <c r="AT5" s="6" t="s">
        <v>95</v>
      </c>
      <c r="AU5" s="6">
        <v>5</v>
      </c>
      <c r="AV5" s="36"/>
      <c r="AW5" s="36"/>
      <c r="AX5" s="36"/>
      <c r="AY5" s="36"/>
      <c r="AZ5" s="36"/>
      <c r="BA5" s="35"/>
      <c r="BB5" s="24" t="s">
        <v>96</v>
      </c>
      <c r="BC5" s="24" t="str">
        <f t="shared" si="4"/>
        <v>Not Obese</v>
      </c>
      <c r="BD5" s="6"/>
      <c r="BE5" s="1" t="s">
        <v>73</v>
      </c>
      <c r="BJ5" s="1">
        <f>COUNTIF(BC3:BC213,"Obese")</f>
        <v>71</v>
      </c>
    </row>
    <row r="6" spans="1:63" ht="80.099999999999994" customHeight="1">
      <c r="A6" s="29" t="s">
        <v>97</v>
      </c>
      <c r="B6" s="22">
        <v>45468</v>
      </c>
      <c r="C6" s="1" t="s">
        <v>84</v>
      </c>
      <c r="D6" s="6">
        <v>32</v>
      </c>
      <c r="G6" s="6" t="s">
        <v>85</v>
      </c>
      <c r="H6" s="33" t="str">
        <f t="shared" si="0"/>
        <v>No</v>
      </c>
      <c r="I6" s="33">
        <v>57.6</v>
      </c>
      <c r="J6" s="6">
        <v>30.7</v>
      </c>
      <c r="K6" s="6">
        <v>4</v>
      </c>
      <c r="L6" s="6">
        <v>1232</v>
      </c>
      <c r="M6" s="6">
        <v>25.5</v>
      </c>
      <c r="N6" s="6">
        <v>27.6</v>
      </c>
      <c r="O6" s="6">
        <v>19.8</v>
      </c>
      <c r="P6" s="6">
        <v>37.6</v>
      </c>
      <c r="Q6" s="6">
        <v>25</v>
      </c>
      <c r="R6" s="6">
        <v>41.8</v>
      </c>
      <c r="S6" s="6">
        <v>21.6</v>
      </c>
      <c r="T6" s="6">
        <v>35.1</v>
      </c>
      <c r="U6" s="30">
        <v>21.2</v>
      </c>
      <c r="V6" s="6">
        <v>47</v>
      </c>
      <c r="W6" s="6">
        <v>41.2</v>
      </c>
      <c r="X6" s="6">
        <v>41.5</v>
      </c>
      <c r="Y6" s="56">
        <f t="shared" si="1"/>
        <v>41.35</v>
      </c>
      <c r="Z6" s="6">
        <v>45.4</v>
      </c>
      <c r="AA6" s="6">
        <v>45.5</v>
      </c>
      <c r="AB6" s="56">
        <f t="shared" si="2"/>
        <v>45.45</v>
      </c>
      <c r="AC6" s="6">
        <v>45.7</v>
      </c>
      <c r="AD6" s="6">
        <v>46</v>
      </c>
      <c r="AE6" s="56">
        <f t="shared" si="3"/>
        <v>45.85</v>
      </c>
      <c r="AF6" s="14" t="s">
        <v>64</v>
      </c>
      <c r="AG6" s="14" t="s">
        <v>66</v>
      </c>
      <c r="AH6" s="14" t="s">
        <v>98</v>
      </c>
      <c r="AI6" s="14" t="s">
        <v>99</v>
      </c>
      <c r="AJ6" s="14" t="s">
        <v>100</v>
      </c>
      <c r="AK6" s="14" t="s">
        <v>101</v>
      </c>
      <c r="AM6" s="11" t="s">
        <v>102</v>
      </c>
      <c r="AN6" s="11" t="s">
        <v>101</v>
      </c>
      <c r="AP6" s="1" t="s">
        <v>66</v>
      </c>
      <c r="AQ6" s="1" t="s">
        <v>103</v>
      </c>
      <c r="AR6" s="6">
        <v>5</v>
      </c>
      <c r="AS6" s="6" t="s">
        <v>68</v>
      </c>
      <c r="AT6" s="6" t="s">
        <v>100</v>
      </c>
      <c r="AU6" s="6">
        <v>5</v>
      </c>
      <c r="AV6" s="36"/>
      <c r="AW6" s="36"/>
      <c r="AX6" s="36"/>
      <c r="AY6" s="36"/>
      <c r="AZ6" s="36"/>
      <c r="BA6" s="35"/>
      <c r="BB6" s="24" t="s">
        <v>104</v>
      </c>
      <c r="BC6" s="24" t="str">
        <f t="shared" si="4"/>
        <v>Not Obese</v>
      </c>
      <c r="BD6" s="6"/>
      <c r="BE6" s="1" t="s">
        <v>105</v>
      </c>
      <c r="BJ6" s="1">
        <f>COUNTIF(BC4:BC214,"Not Obese")</f>
        <v>140</v>
      </c>
    </row>
    <row r="7" spans="1:63" ht="20.100000000000001" customHeight="1">
      <c r="A7" s="29" t="s">
        <v>106</v>
      </c>
      <c r="B7" s="22">
        <v>45468</v>
      </c>
      <c r="C7" s="1" t="s">
        <v>75</v>
      </c>
      <c r="D7" s="6">
        <v>24</v>
      </c>
      <c r="G7" s="6" t="s">
        <v>85</v>
      </c>
      <c r="H7" s="33" t="str">
        <f t="shared" si="0"/>
        <v>Yes</v>
      </c>
      <c r="I7" s="33">
        <v>70.099999999999994</v>
      </c>
      <c r="J7" s="6">
        <v>34.5</v>
      </c>
      <c r="K7" s="6">
        <v>9</v>
      </c>
      <c r="L7" s="6">
        <v>1410</v>
      </c>
      <c r="M7" s="6">
        <v>24.7</v>
      </c>
      <c r="N7" s="6">
        <v>24</v>
      </c>
      <c r="O7" s="6">
        <v>18</v>
      </c>
      <c r="P7" s="6">
        <v>38.4</v>
      </c>
      <c r="Q7" s="6">
        <v>31.2</v>
      </c>
      <c r="R7" s="6">
        <v>45.4</v>
      </c>
      <c r="S7" s="6">
        <v>27</v>
      </c>
      <c r="T7" s="6">
        <v>40.5</v>
      </c>
      <c r="U7" s="30">
        <v>27</v>
      </c>
      <c r="V7" s="6">
        <v>59</v>
      </c>
      <c r="W7" s="6">
        <v>43.4</v>
      </c>
      <c r="X7" s="6">
        <v>41.9</v>
      </c>
      <c r="Y7" s="56">
        <f t="shared" si="1"/>
        <v>42.65</v>
      </c>
      <c r="Z7" s="6">
        <v>45.8</v>
      </c>
      <c r="AA7" s="6">
        <v>45.5</v>
      </c>
      <c r="AB7" s="56">
        <f t="shared" si="2"/>
        <v>45.65</v>
      </c>
      <c r="AC7" s="6">
        <v>41.9</v>
      </c>
      <c r="AD7" s="6">
        <v>43.2</v>
      </c>
      <c r="AE7" s="56">
        <f t="shared" si="3"/>
        <v>42.55</v>
      </c>
      <c r="AF7" s="14" t="s">
        <v>107</v>
      </c>
      <c r="AG7" s="14" t="s">
        <v>108</v>
      </c>
      <c r="AH7" s="14" t="s">
        <v>109</v>
      </c>
      <c r="AI7" s="14" t="s">
        <v>110</v>
      </c>
      <c r="AJ7" s="14" t="s">
        <v>111</v>
      </c>
      <c r="AK7" s="14" t="s">
        <v>69</v>
      </c>
      <c r="AM7" s="11" t="s">
        <v>107</v>
      </c>
      <c r="AN7" s="11" t="s">
        <v>69</v>
      </c>
      <c r="AO7" s="1" t="s">
        <v>112</v>
      </c>
      <c r="AP7" s="1" t="s">
        <v>94</v>
      </c>
      <c r="AQ7" s="1" t="s">
        <v>109</v>
      </c>
      <c r="AR7" s="6">
        <v>5</v>
      </c>
      <c r="AS7" s="6" t="s">
        <v>113</v>
      </c>
      <c r="AT7" s="6" t="s">
        <v>79</v>
      </c>
      <c r="AU7" s="6">
        <v>5</v>
      </c>
      <c r="AV7" s="36"/>
      <c r="AW7" s="36"/>
      <c r="AX7" s="36"/>
      <c r="AY7" s="36"/>
      <c r="AZ7" s="36"/>
      <c r="BA7" s="35"/>
      <c r="BB7" s="24" t="s">
        <v>114</v>
      </c>
      <c r="BC7" s="24" t="str">
        <f t="shared" si="4"/>
        <v>Obese</v>
      </c>
      <c r="BD7" s="6"/>
      <c r="BE7" s="1" t="s">
        <v>115</v>
      </c>
    </row>
    <row r="8" spans="1:63" ht="140.1" customHeight="1">
      <c r="A8" s="29" t="s">
        <v>116</v>
      </c>
      <c r="B8" s="22">
        <v>45468</v>
      </c>
      <c r="C8" s="1" t="s">
        <v>117</v>
      </c>
      <c r="D8" s="6">
        <v>17</v>
      </c>
      <c r="G8" s="6" t="s">
        <v>85</v>
      </c>
      <c r="H8" s="33" t="str">
        <f t="shared" si="0"/>
        <v>Yes</v>
      </c>
      <c r="I8" s="33">
        <v>64</v>
      </c>
      <c r="J8" s="6">
        <v>34.299999999999997</v>
      </c>
      <c r="K8" s="6">
        <v>7.5</v>
      </c>
      <c r="L8" s="6">
        <v>1314</v>
      </c>
      <c r="M8" s="6">
        <v>24.1</v>
      </c>
      <c r="N8" s="6">
        <v>24.6</v>
      </c>
      <c r="O8" s="6">
        <v>17.899999999999999</v>
      </c>
      <c r="P8" s="6">
        <v>37.1</v>
      </c>
      <c r="Q8" s="6">
        <v>29.6</v>
      </c>
      <c r="R8" s="6">
        <v>45.4</v>
      </c>
      <c r="S8" s="6" t="s">
        <v>118</v>
      </c>
      <c r="T8" s="6">
        <v>39.4</v>
      </c>
      <c r="U8" s="30">
        <v>25</v>
      </c>
      <c r="V8" s="6">
        <v>59</v>
      </c>
      <c r="W8" s="6">
        <v>40.799999999999997</v>
      </c>
      <c r="X8" s="6">
        <v>40.799999999999997</v>
      </c>
      <c r="Y8" s="56">
        <f t="shared" si="1"/>
        <v>40.799999999999997</v>
      </c>
      <c r="Z8" s="6">
        <v>44.9</v>
      </c>
      <c r="AA8" s="6">
        <v>45.1</v>
      </c>
      <c r="AB8" s="56">
        <f t="shared" si="2"/>
        <v>45</v>
      </c>
      <c r="AC8" s="6">
        <v>44</v>
      </c>
      <c r="AD8" s="6">
        <v>43.5</v>
      </c>
      <c r="AE8" s="56">
        <f t="shared" si="3"/>
        <v>43.75</v>
      </c>
      <c r="AF8" s="14" t="s">
        <v>119</v>
      </c>
      <c r="AG8" s="14" t="s">
        <v>108</v>
      </c>
      <c r="AH8" s="14" t="s">
        <v>120</v>
      </c>
      <c r="AI8" s="14" t="s">
        <v>110</v>
      </c>
      <c r="AJ8" s="14" t="s">
        <v>121</v>
      </c>
      <c r="AK8" s="14" t="s">
        <v>122</v>
      </c>
      <c r="AL8" s="20" t="s">
        <v>123</v>
      </c>
      <c r="AM8" s="11" t="s">
        <v>124</v>
      </c>
      <c r="AN8" s="11" t="s">
        <v>122</v>
      </c>
      <c r="AP8" s="1" t="s">
        <v>108</v>
      </c>
      <c r="AQ8" s="1" t="s">
        <v>120</v>
      </c>
      <c r="AR8" s="6">
        <v>5</v>
      </c>
      <c r="AS8" s="6" t="s">
        <v>110</v>
      </c>
      <c r="AT8" s="6" t="s">
        <v>71</v>
      </c>
      <c r="AU8" s="6">
        <v>5</v>
      </c>
      <c r="AV8" s="36"/>
      <c r="AW8" s="36"/>
      <c r="AX8" s="36"/>
      <c r="AY8" s="36"/>
      <c r="AZ8" s="36"/>
      <c r="BA8" s="37"/>
      <c r="BB8" s="24" t="s">
        <v>125</v>
      </c>
      <c r="BC8" s="24" t="str">
        <f t="shared" si="4"/>
        <v>Obese</v>
      </c>
      <c r="BD8" s="6"/>
      <c r="BE8" s="1" t="s">
        <v>126</v>
      </c>
    </row>
    <row r="9" spans="1:63" ht="20.100000000000001" customHeight="1">
      <c r="A9" s="29" t="s">
        <v>127</v>
      </c>
      <c r="B9" s="22">
        <v>45468</v>
      </c>
      <c r="C9" s="1" t="s">
        <v>62</v>
      </c>
      <c r="D9" s="6">
        <v>30</v>
      </c>
      <c r="G9" s="6" t="s">
        <v>63</v>
      </c>
      <c r="H9" s="33" t="str">
        <f t="shared" si="0"/>
        <v>Yes</v>
      </c>
      <c r="I9" s="33">
        <v>81.7</v>
      </c>
      <c r="J9" s="6">
        <v>29.1</v>
      </c>
      <c r="K9" s="6">
        <v>15</v>
      </c>
      <c r="L9" s="6">
        <v>1753</v>
      </c>
      <c r="M9" s="6">
        <v>29.2</v>
      </c>
      <c r="N9" s="6">
        <v>35.1</v>
      </c>
      <c r="O9" s="6">
        <v>21.3</v>
      </c>
      <c r="P9" s="6">
        <v>46.6</v>
      </c>
      <c r="Q9" s="6">
        <v>20.5</v>
      </c>
      <c r="R9" s="6">
        <v>27.7</v>
      </c>
      <c r="S9" s="6">
        <v>18.8</v>
      </c>
      <c r="T9" s="6">
        <v>28.1</v>
      </c>
      <c r="U9" s="30">
        <v>28.6</v>
      </c>
      <c r="V9" s="6">
        <v>54</v>
      </c>
      <c r="W9" s="6">
        <v>42.7</v>
      </c>
      <c r="X9" s="6">
        <v>42.7</v>
      </c>
      <c r="Y9" s="56">
        <v>49.6</v>
      </c>
      <c r="Z9" s="6">
        <v>49.6</v>
      </c>
      <c r="AA9" s="6">
        <v>49.6</v>
      </c>
      <c r="AB9" s="56">
        <f t="shared" si="2"/>
        <v>49.6</v>
      </c>
      <c r="AC9" s="6">
        <v>47.4</v>
      </c>
      <c r="AD9" s="6">
        <v>47.2</v>
      </c>
      <c r="AE9" s="56">
        <f t="shared" si="3"/>
        <v>47.3</v>
      </c>
      <c r="AF9" s="14" t="s">
        <v>128</v>
      </c>
      <c r="AG9" s="14" t="s">
        <v>129</v>
      </c>
      <c r="AH9" s="14" t="s">
        <v>130</v>
      </c>
      <c r="AI9" s="14" t="s">
        <v>131</v>
      </c>
      <c r="AJ9" s="14" t="s">
        <v>132</v>
      </c>
      <c r="AK9" s="14" t="s">
        <v>133</v>
      </c>
      <c r="AM9" s="11" t="s">
        <v>134</v>
      </c>
      <c r="AN9" s="11" t="s">
        <v>135</v>
      </c>
      <c r="AO9" s="1" t="s">
        <v>136</v>
      </c>
      <c r="AP9" s="1" t="s">
        <v>129</v>
      </c>
      <c r="AQ9" s="1" t="s">
        <v>137</v>
      </c>
      <c r="AR9" s="6">
        <v>5</v>
      </c>
      <c r="AS9" s="6" t="s">
        <v>138</v>
      </c>
      <c r="AT9" s="6" t="s">
        <v>132</v>
      </c>
      <c r="AU9" s="6">
        <v>5</v>
      </c>
      <c r="AV9" s="36"/>
      <c r="AW9" s="36"/>
      <c r="AX9" s="36"/>
      <c r="AY9" s="36"/>
      <c r="AZ9" s="36"/>
      <c r="BA9" s="37"/>
      <c r="BC9" s="24" t="str">
        <f t="shared" si="4"/>
        <v>Obese</v>
      </c>
      <c r="BD9" s="6"/>
      <c r="BE9" s="1" t="s">
        <v>139</v>
      </c>
    </row>
    <row r="10" spans="1:63" ht="39.950000000000003" customHeight="1">
      <c r="A10" s="29" t="s">
        <v>140</v>
      </c>
      <c r="B10" s="8">
        <v>45472</v>
      </c>
      <c r="C10" s="1" t="s">
        <v>62</v>
      </c>
      <c r="D10" s="6">
        <v>31</v>
      </c>
      <c r="G10" s="6" t="s">
        <v>63</v>
      </c>
      <c r="H10" s="33" t="str">
        <f t="shared" si="0"/>
        <v>Yes</v>
      </c>
      <c r="I10" s="33">
        <v>79.2</v>
      </c>
      <c r="J10" s="6">
        <v>35.9</v>
      </c>
      <c r="K10" s="6">
        <v>11</v>
      </c>
      <c r="L10" s="6">
        <v>1682</v>
      </c>
      <c r="M10" s="6">
        <v>27.7</v>
      </c>
      <c r="N10" s="6">
        <v>34.9</v>
      </c>
      <c r="O10" s="6">
        <v>18.2</v>
      </c>
      <c r="P10" s="6">
        <v>45.2</v>
      </c>
      <c r="Q10" s="6">
        <v>24.1</v>
      </c>
      <c r="R10" s="6">
        <v>35.700000000000003</v>
      </c>
      <c r="S10" s="6">
        <v>21.6</v>
      </c>
      <c r="T10" s="6">
        <v>36.4</v>
      </c>
      <c r="U10" s="30">
        <v>25</v>
      </c>
      <c r="V10" s="6">
        <v>55</v>
      </c>
      <c r="W10" s="6">
        <v>42.4</v>
      </c>
      <c r="X10" s="6">
        <v>41.2</v>
      </c>
      <c r="Y10" s="56">
        <f t="shared" si="1"/>
        <v>41.8</v>
      </c>
      <c r="Z10" s="6">
        <v>54.6</v>
      </c>
      <c r="AA10" s="6">
        <v>55.2</v>
      </c>
      <c r="AB10" s="56">
        <f t="shared" si="2"/>
        <v>54.900000000000006</v>
      </c>
      <c r="AC10" s="6">
        <v>51.1</v>
      </c>
      <c r="AD10" s="6">
        <v>52.1</v>
      </c>
      <c r="AE10" s="56">
        <f t="shared" si="3"/>
        <v>51.6</v>
      </c>
      <c r="AF10" s="14" t="s">
        <v>141</v>
      </c>
      <c r="AG10" s="14" t="s">
        <v>142</v>
      </c>
      <c r="AH10" s="14" t="s">
        <v>143</v>
      </c>
      <c r="AI10" s="14" t="s">
        <v>144</v>
      </c>
      <c r="AJ10" s="14" t="s">
        <v>145</v>
      </c>
      <c r="AK10" s="14" t="s">
        <v>146</v>
      </c>
      <c r="AM10" s="11" t="s">
        <v>141</v>
      </c>
      <c r="AN10" s="11" t="s">
        <v>146</v>
      </c>
      <c r="AP10" s="1" t="s">
        <v>142</v>
      </c>
      <c r="AQ10" s="1" t="s">
        <v>143</v>
      </c>
      <c r="AR10" s="6">
        <v>5</v>
      </c>
      <c r="AS10" s="6" t="s">
        <v>144</v>
      </c>
      <c r="AT10" s="6" t="s">
        <v>145</v>
      </c>
      <c r="AU10" s="6">
        <v>5</v>
      </c>
      <c r="AV10" s="36"/>
      <c r="AW10" s="36"/>
      <c r="AX10" s="36"/>
      <c r="AY10" s="36"/>
      <c r="AZ10" s="36"/>
      <c r="BA10" s="35"/>
      <c r="BB10" s="24" t="s">
        <v>147</v>
      </c>
      <c r="BC10" s="24" t="str">
        <f t="shared" si="4"/>
        <v>Obese</v>
      </c>
      <c r="BD10" s="6"/>
      <c r="BE10" s="1" t="s">
        <v>73</v>
      </c>
    </row>
    <row r="11" spans="1:63" ht="80.099999999999994" customHeight="1">
      <c r="A11" s="29" t="s">
        <v>148</v>
      </c>
      <c r="B11" s="8">
        <v>45472</v>
      </c>
      <c r="C11" s="1" t="s">
        <v>75</v>
      </c>
      <c r="D11" s="6">
        <v>24</v>
      </c>
      <c r="G11" s="6" t="s">
        <v>85</v>
      </c>
      <c r="H11" s="33" t="str">
        <f t="shared" si="0"/>
        <v>Yes</v>
      </c>
      <c r="I11" s="33">
        <v>61.4</v>
      </c>
      <c r="J11" s="6">
        <v>37.1</v>
      </c>
      <c r="K11" s="6">
        <v>7</v>
      </c>
      <c r="L11" s="6">
        <v>1259</v>
      </c>
      <c r="M11" s="6">
        <v>22.4</v>
      </c>
      <c r="N11" s="6">
        <v>23.3</v>
      </c>
      <c r="O11" s="6">
        <v>17</v>
      </c>
      <c r="P11" s="6">
        <v>35.1</v>
      </c>
      <c r="Q11" s="6">
        <v>31.2</v>
      </c>
      <c r="R11" s="6">
        <v>50.3</v>
      </c>
      <c r="S11" s="6">
        <v>28</v>
      </c>
      <c r="T11" s="6">
        <v>44.7</v>
      </c>
      <c r="U11" s="30">
        <v>25.2</v>
      </c>
      <c r="V11" s="6">
        <v>53</v>
      </c>
      <c r="W11" s="6">
        <v>46</v>
      </c>
      <c r="X11" s="6">
        <v>45.7</v>
      </c>
      <c r="Y11" s="56">
        <f t="shared" si="1"/>
        <v>45.85</v>
      </c>
      <c r="Z11" s="6">
        <v>40</v>
      </c>
      <c r="AA11" s="6">
        <v>46</v>
      </c>
      <c r="AB11" s="56">
        <f t="shared" si="2"/>
        <v>43</v>
      </c>
      <c r="AC11" s="6">
        <v>43</v>
      </c>
      <c r="AD11" s="6">
        <v>43.2</v>
      </c>
      <c r="AE11" s="56">
        <f t="shared" si="3"/>
        <v>43.1</v>
      </c>
      <c r="AF11" s="14" t="s">
        <v>149</v>
      </c>
      <c r="AG11" s="14" t="s">
        <v>150</v>
      </c>
      <c r="AH11" s="14" t="s">
        <v>151</v>
      </c>
      <c r="AI11" s="14" t="s">
        <v>152</v>
      </c>
      <c r="AJ11" s="14" t="s">
        <v>153</v>
      </c>
      <c r="AK11" s="14" t="s">
        <v>154</v>
      </c>
      <c r="AM11" s="11" t="s">
        <v>155</v>
      </c>
      <c r="AN11" s="11" t="s">
        <v>154</v>
      </c>
      <c r="AO11" s="20" t="s">
        <v>156</v>
      </c>
      <c r="AP11" s="1" t="s">
        <v>150</v>
      </c>
      <c r="AQ11" s="1" t="s">
        <v>151</v>
      </c>
      <c r="AR11" s="6">
        <v>6</v>
      </c>
      <c r="AS11" s="6" t="s">
        <v>157</v>
      </c>
      <c r="AT11" s="6" t="s">
        <v>153</v>
      </c>
      <c r="AU11" s="6">
        <v>5</v>
      </c>
      <c r="AV11" s="36"/>
      <c r="AW11" s="36"/>
      <c r="AX11" s="36"/>
      <c r="AY11" s="36"/>
      <c r="AZ11" s="36"/>
      <c r="BA11" s="35"/>
      <c r="BB11" s="24" t="s">
        <v>158</v>
      </c>
      <c r="BC11" s="24" t="str">
        <f t="shared" si="4"/>
        <v>Obese</v>
      </c>
      <c r="BD11" s="6"/>
      <c r="BE11" s="1" t="s">
        <v>73</v>
      </c>
    </row>
    <row r="12" spans="1:63" ht="99.95" customHeight="1">
      <c r="A12" s="29" t="s">
        <v>159</v>
      </c>
      <c r="B12" s="8">
        <v>45474</v>
      </c>
      <c r="C12" s="1" t="s">
        <v>62</v>
      </c>
      <c r="D12" s="6">
        <v>19</v>
      </c>
      <c r="G12" s="6" t="s">
        <v>63</v>
      </c>
      <c r="H12" s="33" t="str">
        <f t="shared" si="0"/>
        <v>Yes</v>
      </c>
      <c r="I12" s="33">
        <v>98</v>
      </c>
      <c r="J12" s="6">
        <v>30.8</v>
      </c>
      <c r="K12" s="6">
        <v>20</v>
      </c>
      <c r="L12" s="6">
        <v>2003</v>
      </c>
      <c r="M12" s="6">
        <v>29.1</v>
      </c>
      <c r="N12" s="6">
        <v>33.5</v>
      </c>
      <c r="O12" s="6">
        <v>20.8</v>
      </c>
      <c r="P12" s="6">
        <v>46.5</v>
      </c>
      <c r="Q12" s="6">
        <v>21.9</v>
      </c>
      <c r="R12" s="6">
        <v>26.7</v>
      </c>
      <c r="S12" s="6">
        <v>20.2</v>
      </c>
      <c r="T12" s="6">
        <v>27.4</v>
      </c>
      <c r="U12" s="30">
        <v>30.6</v>
      </c>
      <c r="V12" s="6">
        <v>67</v>
      </c>
      <c r="W12" s="6">
        <v>46.3</v>
      </c>
      <c r="X12" s="6">
        <v>46.8</v>
      </c>
      <c r="Y12" s="56">
        <f t="shared" si="1"/>
        <v>46.55</v>
      </c>
      <c r="Z12" s="6">
        <v>52</v>
      </c>
      <c r="AA12" s="6">
        <v>52</v>
      </c>
      <c r="AB12" s="56">
        <f>AVERAGE(Z12,AA12)</f>
        <v>52</v>
      </c>
      <c r="AC12" s="6">
        <v>53.2</v>
      </c>
      <c r="AD12" s="6">
        <v>53</v>
      </c>
      <c r="AE12" s="56">
        <f t="shared" si="3"/>
        <v>53.1</v>
      </c>
      <c r="AF12" s="14" t="s">
        <v>141</v>
      </c>
      <c r="AG12" s="14" t="s">
        <v>160</v>
      </c>
      <c r="AH12" s="14" t="s">
        <v>161</v>
      </c>
      <c r="AI12" s="14" t="s">
        <v>162</v>
      </c>
      <c r="AJ12" s="14" t="s">
        <v>163</v>
      </c>
      <c r="AK12" s="14" t="s">
        <v>164</v>
      </c>
      <c r="AM12" s="11" t="s">
        <v>141</v>
      </c>
      <c r="AN12" s="11" t="s">
        <v>164</v>
      </c>
      <c r="AO12" s="20" t="s">
        <v>165</v>
      </c>
      <c r="AP12" s="1" t="s">
        <v>160</v>
      </c>
      <c r="AQ12" s="1" t="s">
        <v>161</v>
      </c>
      <c r="AR12" s="6">
        <v>6</v>
      </c>
      <c r="AS12" s="6" t="s">
        <v>166</v>
      </c>
      <c r="AT12" s="6" t="s">
        <v>163</v>
      </c>
      <c r="AU12" s="6">
        <v>5</v>
      </c>
      <c r="AV12" s="36"/>
      <c r="AW12" s="36"/>
      <c r="AX12" s="36"/>
      <c r="AY12" s="36"/>
      <c r="AZ12" s="36"/>
      <c r="BA12" s="35"/>
      <c r="BB12" s="24" t="s">
        <v>167</v>
      </c>
      <c r="BC12" s="24" t="str">
        <f t="shared" si="4"/>
        <v>Obese</v>
      </c>
      <c r="BD12" s="6"/>
      <c r="BE12" s="1" t="s">
        <v>168</v>
      </c>
    </row>
    <row r="13" spans="1:63" ht="99.95" customHeight="1">
      <c r="A13" s="29" t="s">
        <v>169</v>
      </c>
      <c r="B13" s="8">
        <v>45474</v>
      </c>
      <c r="C13" s="1" t="s">
        <v>84</v>
      </c>
      <c r="D13" s="6">
        <v>23</v>
      </c>
      <c r="G13" s="6" t="s">
        <v>85</v>
      </c>
      <c r="H13" s="33" t="str">
        <f t="shared" si="0"/>
        <v>No</v>
      </c>
      <c r="I13" s="33">
        <v>53</v>
      </c>
      <c r="J13" s="6">
        <v>28.6</v>
      </c>
      <c r="K13" s="6">
        <v>4</v>
      </c>
      <c r="L13" s="6">
        <v>1167</v>
      </c>
      <c r="M13" s="6">
        <v>25.8</v>
      </c>
      <c r="N13" s="6">
        <v>29</v>
      </c>
      <c r="O13" s="6">
        <v>20.3</v>
      </c>
      <c r="P13" s="6">
        <v>38.299999999999997</v>
      </c>
      <c r="Q13" s="6">
        <v>24.4</v>
      </c>
      <c r="R13" s="6">
        <v>39.200000000000003</v>
      </c>
      <c r="S13" s="6">
        <v>20.5</v>
      </c>
      <c r="T13" s="6">
        <v>33.6</v>
      </c>
      <c r="U13" s="30">
        <v>21.8</v>
      </c>
      <c r="V13" s="6">
        <v>44</v>
      </c>
      <c r="W13" s="6">
        <v>36.5</v>
      </c>
      <c r="X13" s="6">
        <v>36.200000000000003</v>
      </c>
      <c r="Y13" s="56">
        <f t="shared" si="1"/>
        <v>36.35</v>
      </c>
      <c r="Z13" s="6">
        <v>47</v>
      </c>
      <c r="AA13" s="6">
        <v>46.9</v>
      </c>
      <c r="AB13" s="56">
        <f t="shared" si="2"/>
        <v>46.95</v>
      </c>
      <c r="AC13" s="6">
        <v>42</v>
      </c>
      <c r="AD13" s="6">
        <v>44</v>
      </c>
      <c r="AE13" s="56">
        <f t="shared" si="3"/>
        <v>43</v>
      </c>
      <c r="AF13" s="14" t="s">
        <v>170</v>
      </c>
      <c r="AG13" s="14" t="s">
        <v>171</v>
      </c>
      <c r="AH13" s="14" t="s">
        <v>172</v>
      </c>
      <c r="AI13" s="14" t="s">
        <v>173</v>
      </c>
      <c r="AJ13" s="14" t="s">
        <v>174</v>
      </c>
      <c r="AK13" s="14" t="s">
        <v>175</v>
      </c>
      <c r="AL13" s="27" t="s">
        <v>176</v>
      </c>
      <c r="AM13" s="11" t="s">
        <v>170</v>
      </c>
      <c r="AN13" s="11" t="s">
        <v>175</v>
      </c>
      <c r="AO13" s="20" t="s">
        <v>177</v>
      </c>
      <c r="AP13" s="1" t="s">
        <v>178</v>
      </c>
      <c r="AQ13" s="1" t="s">
        <v>172</v>
      </c>
      <c r="AR13" s="6">
        <v>5</v>
      </c>
      <c r="AS13" s="6" t="s">
        <v>173</v>
      </c>
      <c r="AT13" s="6" t="s">
        <v>174</v>
      </c>
      <c r="AU13" s="6">
        <v>5</v>
      </c>
      <c r="AV13" s="36"/>
      <c r="AW13" s="36"/>
      <c r="AX13" s="36"/>
      <c r="AY13" s="36"/>
      <c r="AZ13" s="36"/>
      <c r="BA13" s="35"/>
      <c r="BB13" s="24" t="s">
        <v>179</v>
      </c>
      <c r="BC13" s="24" t="str">
        <f t="shared" si="4"/>
        <v>Not Obese</v>
      </c>
      <c r="BD13" s="6"/>
      <c r="BE13" s="1" t="s">
        <v>180</v>
      </c>
    </row>
    <row r="14" spans="1:63" ht="120" customHeight="1">
      <c r="A14" s="29" t="s">
        <v>181</v>
      </c>
      <c r="B14" s="8">
        <v>45474</v>
      </c>
      <c r="C14" s="1" t="s">
        <v>75</v>
      </c>
      <c r="D14" s="6">
        <v>25</v>
      </c>
      <c r="G14" s="6" t="s">
        <v>63</v>
      </c>
      <c r="H14" s="33" t="str">
        <f t="shared" si="0"/>
        <v>Yes</v>
      </c>
      <c r="I14" s="33">
        <v>70.7</v>
      </c>
      <c r="J14" s="6">
        <v>31.6</v>
      </c>
      <c r="K14" s="6">
        <v>15</v>
      </c>
      <c r="L14" s="6">
        <v>1557</v>
      </c>
      <c r="M14" s="6">
        <v>26.7</v>
      </c>
      <c r="N14" s="6">
        <v>34.1</v>
      </c>
      <c r="O14" s="6">
        <v>18.8</v>
      </c>
      <c r="P14" s="6">
        <v>44.2</v>
      </c>
      <c r="Q14" s="6">
        <v>21.7</v>
      </c>
      <c r="R14" s="6">
        <v>29.6</v>
      </c>
      <c r="S14" s="6">
        <v>19.7</v>
      </c>
      <c r="T14" s="6">
        <v>30.1</v>
      </c>
      <c r="U14" s="30">
        <v>26.9</v>
      </c>
      <c r="V14" s="6">
        <v>59</v>
      </c>
      <c r="W14" s="6">
        <v>40.9</v>
      </c>
      <c r="X14" s="6">
        <v>41</v>
      </c>
      <c r="Y14" s="56">
        <f t="shared" si="1"/>
        <v>40.950000000000003</v>
      </c>
      <c r="Z14" s="6">
        <v>47.5</v>
      </c>
      <c r="AA14" s="6">
        <v>47.3</v>
      </c>
      <c r="AB14" s="56">
        <f t="shared" si="2"/>
        <v>47.4</v>
      </c>
      <c r="AC14" s="6">
        <v>42.6</v>
      </c>
      <c r="AD14" s="6">
        <v>42.6</v>
      </c>
      <c r="AE14" s="56">
        <f t="shared" si="3"/>
        <v>42.6</v>
      </c>
      <c r="AF14" s="14" t="s">
        <v>182</v>
      </c>
      <c r="AG14" s="14" t="s">
        <v>109</v>
      </c>
      <c r="AH14" s="14" t="s">
        <v>78</v>
      </c>
      <c r="AI14" s="14" t="s">
        <v>111</v>
      </c>
      <c r="AJ14" s="14" t="s">
        <v>183</v>
      </c>
      <c r="AK14" s="14" t="s">
        <v>70</v>
      </c>
      <c r="AM14" s="11" t="s">
        <v>182</v>
      </c>
      <c r="AN14" s="11" t="s">
        <v>70</v>
      </c>
      <c r="AO14" s="20" t="s">
        <v>184</v>
      </c>
      <c r="AP14" s="1" t="s">
        <v>109</v>
      </c>
      <c r="AQ14" s="1" t="s">
        <v>78</v>
      </c>
      <c r="AR14" s="6">
        <v>6</v>
      </c>
      <c r="AS14" s="6" t="s">
        <v>111</v>
      </c>
      <c r="AT14" s="6" t="s">
        <v>183</v>
      </c>
      <c r="AU14" s="6">
        <v>5</v>
      </c>
      <c r="AV14" s="36"/>
      <c r="AW14" s="36"/>
      <c r="AX14" s="36"/>
      <c r="AY14" s="36"/>
      <c r="AZ14" s="36"/>
      <c r="BA14" s="35"/>
      <c r="BB14" s="24" t="s">
        <v>185</v>
      </c>
      <c r="BC14" s="24" t="str">
        <f t="shared" si="4"/>
        <v>Obese</v>
      </c>
      <c r="BD14" s="6"/>
      <c r="BE14" s="1" t="s">
        <v>186</v>
      </c>
    </row>
    <row r="15" spans="1:63" ht="20.100000000000001" customHeight="1">
      <c r="A15" s="29" t="s">
        <v>187</v>
      </c>
      <c r="B15" s="8">
        <v>45475</v>
      </c>
      <c r="C15" s="1" t="s">
        <v>75</v>
      </c>
      <c r="D15" s="6">
        <v>30</v>
      </c>
      <c r="G15" s="6" t="s">
        <v>63</v>
      </c>
      <c r="H15" s="33" t="str">
        <f t="shared" si="0"/>
        <v>Yes</v>
      </c>
      <c r="I15" s="33">
        <v>70.2</v>
      </c>
      <c r="J15" s="6">
        <v>28</v>
      </c>
      <c r="K15" s="6">
        <v>8</v>
      </c>
      <c r="L15" s="6">
        <v>1583</v>
      </c>
      <c r="M15" s="6">
        <v>30.5</v>
      </c>
      <c r="N15" s="6">
        <v>37.200000000000003</v>
      </c>
      <c r="O15" s="6">
        <v>22.6</v>
      </c>
      <c r="P15" s="6">
        <v>47.9</v>
      </c>
      <c r="Q15" s="6">
        <v>18.899999999999999</v>
      </c>
      <c r="R15" s="6">
        <v>27.2</v>
      </c>
      <c r="S15" s="6">
        <v>16.7</v>
      </c>
      <c r="T15" s="6">
        <v>27.4</v>
      </c>
      <c r="U15" s="30">
        <v>22.9</v>
      </c>
      <c r="V15" s="6">
        <v>44</v>
      </c>
      <c r="W15" s="6">
        <v>38.299999999999997</v>
      </c>
      <c r="X15" s="6">
        <v>39.5</v>
      </c>
      <c r="Y15" s="56">
        <f t="shared" si="1"/>
        <v>38.9</v>
      </c>
      <c r="Z15" s="6">
        <v>49.5</v>
      </c>
      <c r="AA15" s="6">
        <v>49.5</v>
      </c>
      <c r="AB15" s="56">
        <f t="shared" si="2"/>
        <v>49.5</v>
      </c>
      <c r="AC15" s="6">
        <v>48.4</v>
      </c>
      <c r="AD15" s="6">
        <v>48.6</v>
      </c>
      <c r="AE15" s="56">
        <f t="shared" si="3"/>
        <v>48.5</v>
      </c>
      <c r="AF15" s="14" t="s">
        <v>188</v>
      </c>
      <c r="AG15" s="14" t="s">
        <v>189</v>
      </c>
      <c r="AH15" s="14" t="s">
        <v>190</v>
      </c>
      <c r="AI15" s="14" t="s">
        <v>191</v>
      </c>
      <c r="AJ15" s="14" t="s">
        <v>192</v>
      </c>
      <c r="AK15" s="14" t="s">
        <v>193</v>
      </c>
      <c r="AM15" s="11" t="s">
        <v>188</v>
      </c>
      <c r="AN15" s="11" t="s">
        <v>194</v>
      </c>
      <c r="AO15" s="1" t="s">
        <v>195</v>
      </c>
      <c r="AP15" s="1" t="s">
        <v>196</v>
      </c>
      <c r="AQ15" s="1" t="s">
        <v>197</v>
      </c>
      <c r="AR15" s="6">
        <v>5</v>
      </c>
      <c r="AS15" s="6" t="s">
        <v>198</v>
      </c>
      <c r="AT15" s="6" t="s">
        <v>192</v>
      </c>
      <c r="AU15" s="6">
        <v>5</v>
      </c>
      <c r="AV15" s="36"/>
      <c r="AW15" s="36"/>
      <c r="AX15" s="36"/>
      <c r="AY15" s="36"/>
      <c r="AZ15" s="36"/>
      <c r="BA15" s="35"/>
      <c r="BC15" s="24" t="str">
        <f t="shared" si="4"/>
        <v>Not Obese</v>
      </c>
      <c r="BD15" s="6"/>
      <c r="BE15" s="1" t="s">
        <v>73</v>
      </c>
    </row>
    <row r="16" spans="1:63" ht="120" customHeight="1">
      <c r="A16" s="29" t="s">
        <v>199</v>
      </c>
      <c r="B16" s="8">
        <v>45475</v>
      </c>
      <c r="C16" s="1" t="s">
        <v>84</v>
      </c>
      <c r="D16" s="6">
        <v>19</v>
      </c>
      <c r="G16" s="6" t="s">
        <v>85</v>
      </c>
      <c r="H16" s="33" t="str">
        <f t="shared" si="0"/>
        <v>Yes</v>
      </c>
      <c r="I16" s="33">
        <v>52.7</v>
      </c>
      <c r="J16" s="6">
        <v>37.5</v>
      </c>
      <c r="K16" s="6">
        <v>5.5</v>
      </c>
      <c r="L16" s="6">
        <v>1127</v>
      </c>
      <c r="M16" s="6">
        <v>21.9</v>
      </c>
      <c r="N16" s="6">
        <v>24.5</v>
      </c>
      <c r="O16" s="6">
        <v>17.100000000000001</v>
      </c>
      <c r="P16" s="6">
        <v>33.5</v>
      </c>
      <c r="Q16" s="6">
        <v>29.6</v>
      </c>
      <c r="R16" s="6">
        <v>50.7</v>
      </c>
      <c r="S16" s="6">
        <v>27.1</v>
      </c>
      <c r="T16" s="6">
        <v>43.1</v>
      </c>
      <c r="U16" s="30">
        <v>22.8</v>
      </c>
      <c r="V16" s="6">
        <v>48</v>
      </c>
      <c r="W16" s="6">
        <v>39.9</v>
      </c>
      <c r="X16" s="6">
        <v>40</v>
      </c>
      <c r="Y16" s="56">
        <f>AVERAGE(W16,X16)</f>
        <v>39.950000000000003</v>
      </c>
      <c r="Z16" s="6">
        <v>38.9</v>
      </c>
      <c r="AA16" s="6">
        <v>38</v>
      </c>
      <c r="AB16" s="56">
        <f t="shared" si="2"/>
        <v>38.450000000000003</v>
      </c>
      <c r="AC16" s="6">
        <v>40.700000000000003</v>
      </c>
      <c r="AD16" s="6">
        <v>39.9</v>
      </c>
      <c r="AE16" s="56">
        <f t="shared" si="3"/>
        <v>40.299999999999997</v>
      </c>
      <c r="AF16" s="14" t="s">
        <v>200</v>
      </c>
      <c r="AG16" s="14" t="s">
        <v>201</v>
      </c>
      <c r="AH16" s="14" t="s">
        <v>202</v>
      </c>
      <c r="AI16" s="14" t="s">
        <v>203</v>
      </c>
      <c r="AJ16" s="14" t="s">
        <v>89</v>
      </c>
      <c r="AK16" s="14" t="s">
        <v>204</v>
      </c>
      <c r="AL16" s="20" t="s">
        <v>205</v>
      </c>
      <c r="AM16" s="11" t="s">
        <v>206</v>
      </c>
      <c r="AN16" s="11" t="s">
        <v>204</v>
      </c>
      <c r="AP16" s="1" t="s">
        <v>201</v>
      </c>
      <c r="AQ16" s="1" t="s">
        <v>202</v>
      </c>
      <c r="AR16" s="6">
        <v>7</v>
      </c>
      <c r="AS16" s="6" t="s">
        <v>203</v>
      </c>
      <c r="AT16" s="6" t="s">
        <v>89</v>
      </c>
      <c r="AU16" s="6">
        <v>5</v>
      </c>
      <c r="AV16" s="36"/>
      <c r="AW16" s="36"/>
      <c r="AX16" s="36"/>
      <c r="AY16" s="36"/>
      <c r="AZ16" s="36"/>
      <c r="BA16" s="35"/>
      <c r="BB16" s="24" t="s">
        <v>207</v>
      </c>
      <c r="BC16" s="24" t="str">
        <f t="shared" si="4"/>
        <v>Not Obese</v>
      </c>
      <c r="BD16" s="6"/>
      <c r="BE16" s="1" t="s">
        <v>73</v>
      </c>
    </row>
    <row r="17" spans="1:57" ht="20.100000000000001" customHeight="1">
      <c r="A17" s="29" t="s">
        <v>208</v>
      </c>
      <c r="B17" s="8">
        <v>45478</v>
      </c>
      <c r="C17" s="1" t="s">
        <v>62</v>
      </c>
      <c r="D17" s="6">
        <v>30</v>
      </c>
      <c r="G17" s="6" t="s">
        <v>63</v>
      </c>
      <c r="H17" s="33" t="str">
        <f t="shared" si="0"/>
        <v>Yes</v>
      </c>
      <c r="I17" s="33">
        <v>72</v>
      </c>
      <c r="J17" s="6">
        <v>28.7</v>
      </c>
      <c r="K17" s="6">
        <v>12.5</v>
      </c>
      <c r="L17" s="6">
        <v>1596</v>
      </c>
      <c r="M17" s="6">
        <v>28.3</v>
      </c>
      <c r="N17" s="6">
        <v>34.799999999999997</v>
      </c>
      <c r="O17" s="6">
        <v>20.8</v>
      </c>
      <c r="P17" s="6">
        <v>45.8</v>
      </c>
      <c r="Q17" s="6">
        <v>19.7</v>
      </c>
      <c r="R17" s="6">
        <v>26.2</v>
      </c>
      <c r="S17" s="6">
        <v>17.7</v>
      </c>
      <c r="T17" s="6">
        <v>26.6</v>
      </c>
      <c r="U17" s="30">
        <v>25.2</v>
      </c>
      <c r="V17" s="6">
        <v>57</v>
      </c>
      <c r="W17" s="6">
        <v>40.4</v>
      </c>
      <c r="X17" s="6">
        <v>41.1</v>
      </c>
      <c r="Y17" s="56">
        <f t="shared" ref="Y17" si="5">AVERAGE(W17,X17)</f>
        <v>40.75</v>
      </c>
      <c r="Z17" s="6">
        <v>49.4</v>
      </c>
      <c r="AA17" s="6">
        <v>48.9</v>
      </c>
      <c r="AB17" s="56">
        <f t="shared" si="2"/>
        <v>49.15</v>
      </c>
      <c r="AC17" s="6">
        <v>48.5</v>
      </c>
      <c r="AD17" s="6">
        <v>47</v>
      </c>
      <c r="AE17" s="56">
        <f t="shared" si="3"/>
        <v>47.75</v>
      </c>
      <c r="AF17" s="14" t="s">
        <v>209</v>
      </c>
      <c r="AG17" s="14" t="s">
        <v>66</v>
      </c>
      <c r="AH17" s="14" t="s">
        <v>103</v>
      </c>
      <c r="AI17" s="14" t="s">
        <v>68</v>
      </c>
      <c r="AJ17" s="14" t="s">
        <v>100</v>
      </c>
      <c r="AK17" s="14" t="s">
        <v>101</v>
      </c>
      <c r="AM17" s="11" t="s">
        <v>209</v>
      </c>
      <c r="AN17" s="11" t="s">
        <v>210</v>
      </c>
      <c r="AP17" s="1" t="s">
        <v>211</v>
      </c>
      <c r="AQ17" s="1" t="s">
        <v>98</v>
      </c>
      <c r="AR17" s="6">
        <v>5</v>
      </c>
      <c r="AS17" s="6" t="s">
        <v>68</v>
      </c>
      <c r="AT17" s="6" t="s">
        <v>100</v>
      </c>
      <c r="AU17" s="6">
        <v>5</v>
      </c>
      <c r="AV17" s="36"/>
      <c r="AW17" s="36"/>
      <c r="AX17" s="36"/>
      <c r="AY17" s="36"/>
      <c r="AZ17" s="36"/>
      <c r="BA17" s="35"/>
      <c r="BC17" s="24" t="str">
        <f t="shared" si="4"/>
        <v>Obese</v>
      </c>
      <c r="BD17" s="6"/>
      <c r="BE17" s="1" t="s">
        <v>73</v>
      </c>
    </row>
    <row r="18" spans="1:57" ht="140.1" customHeight="1">
      <c r="A18" s="29" t="s">
        <v>212</v>
      </c>
      <c r="B18" s="8">
        <v>45478</v>
      </c>
      <c r="C18" s="1" t="s">
        <v>75</v>
      </c>
      <c r="D18" s="6">
        <v>20</v>
      </c>
      <c r="G18" s="6" t="s">
        <v>85</v>
      </c>
      <c r="H18" s="33" t="str">
        <f t="shared" si="0"/>
        <v>Yes</v>
      </c>
      <c r="I18" s="33">
        <v>61.6</v>
      </c>
      <c r="J18" s="6">
        <v>35.200000000000003</v>
      </c>
      <c r="K18" s="6">
        <v>6</v>
      </c>
      <c r="L18" s="6">
        <v>1272</v>
      </c>
      <c r="M18" s="6">
        <v>23.5</v>
      </c>
      <c r="N18" s="6">
        <v>24.4</v>
      </c>
      <c r="O18" s="6">
        <v>18</v>
      </c>
      <c r="P18" s="6">
        <v>35.700000000000003</v>
      </c>
      <c r="Q18" s="6">
        <v>29.4</v>
      </c>
      <c r="R18" s="6">
        <v>48</v>
      </c>
      <c r="S18" s="6">
        <v>26.2</v>
      </c>
      <c r="T18" s="6">
        <v>42.2</v>
      </c>
      <c r="U18" s="30">
        <v>24.1</v>
      </c>
      <c r="V18" s="6">
        <v>50</v>
      </c>
      <c r="W18" s="6">
        <v>41.9</v>
      </c>
      <c r="X18" s="6">
        <v>42.4</v>
      </c>
      <c r="Y18" s="56">
        <f t="shared" ref="Y18:Y25" si="6">AVERAGE(W18,X18)</f>
        <v>42.15</v>
      </c>
      <c r="Z18" s="6">
        <v>47.2</v>
      </c>
      <c r="AA18" s="6">
        <v>47.9</v>
      </c>
      <c r="AB18" s="56">
        <f t="shared" si="2"/>
        <v>47.55</v>
      </c>
      <c r="AC18" s="6">
        <v>39.700000000000003</v>
      </c>
      <c r="AD18" s="6">
        <v>40.700000000000003</v>
      </c>
      <c r="AE18" s="56">
        <f t="shared" si="3"/>
        <v>40.200000000000003</v>
      </c>
      <c r="AF18" s="14" t="s">
        <v>213</v>
      </c>
      <c r="AG18" s="14" t="s">
        <v>197</v>
      </c>
      <c r="AH18" s="14" t="s">
        <v>129</v>
      </c>
      <c r="AI18" s="14" t="s">
        <v>214</v>
      </c>
      <c r="AJ18" s="14" t="s">
        <v>215</v>
      </c>
      <c r="AK18" s="14" t="s">
        <v>216</v>
      </c>
      <c r="AL18" s="20" t="s">
        <v>217</v>
      </c>
      <c r="AM18" s="11" t="s">
        <v>213</v>
      </c>
      <c r="AN18" s="11" t="s">
        <v>216</v>
      </c>
      <c r="AP18" s="1" t="s">
        <v>197</v>
      </c>
      <c r="AQ18" s="1" t="s">
        <v>129</v>
      </c>
      <c r="AR18" s="6">
        <v>7</v>
      </c>
      <c r="AS18" s="6" t="s">
        <v>214</v>
      </c>
      <c r="AT18" s="6" t="s">
        <v>215</v>
      </c>
      <c r="AU18" s="6">
        <v>5</v>
      </c>
      <c r="AV18" s="36"/>
      <c r="AW18" s="36"/>
      <c r="AX18" s="36"/>
      <c r="AY18" s="36"/>
      <c r="AZ18" s="35"/>
      <c r="BA18" s="35"/>
      <c r="BB18" s="27" t="s">
        <v>218</v>
      </c>
      <c r="BC18" s="24" t="str">
        <f t="shared" si="4"/>
        <v>Not Obese</v>
      </c>
      <c r="BD18" s="6"/>
    </row>
    <row r="19" spans="1:57" ht="20.100000000000001" customHeight="1">
      <c r="A19" s="29" t="s">
        <v>219</v>
      </c>
      <c r="B19" s="8">
        <v>45478</v>
      </c>
      <c r="C19" s="1" t="s">
        <v>84</v>
      </c>
      <c r="D19" s="6">
        <v>28</v>
      </c>
      <c r="G19" s="6" t="s">
        <v>85</v>
      </c>
      <c r="H19" s="33" t="str">
        <f t="shared" si="0"/>
        <v>Yes</v>
      </c>
      <c r="I19" s="33">
        <v>69.3</v>
      </c>
      <c r="J19" s="6">
        <v>38</v>
      </c>
      <c r="K19" s="6">
        <v>7</v>
      </c>
      <c r="L19" s="6">
        <v>1377</v>
      </c>
      <c r="M19" s="6">
        <v>22.8</v>
      </c>
      <c r="N19" s="6">
        <v>22</v>
      </c>
      <c r="O19" s="6">
        <v>17</v>
      </c>
      <c r="P19" s="6">
        <v>35</v>
      </c>
      <c r="Q19" s="6">
        <v>31.1</v>
      </c>
      <c r="R19" s="6">
        <v>51.5</v>
      </c>
      <c r="S19" s="6">
        <v>28.3</v>
      </c>
      <c r="T19" s="6">
        <v>45.2</v>
      </c>
      <c r="U19" s="30">
        <v>24.6</v>
      </c>
      <c r="V19" s="6">
        <v>58</v>
      </c>
      <c r="W19" s="6">
        <v>44.2</v>
      </c>
      <c r="X19" s="6">
        <v>44.4</v>
      </c>
      <c r="Y19" s="56">
        <f t="shared" si="6"/>
        <v>44.3</v>
      </c>
      <c r="Z19" s="6">
        <v>48.5</v>
      </c>
      <c r="AA19" s="6">
        <v>48.8</v>
      </c>
      <c r="AB19" s="56">
        <f t="shared" si="2"/>
        <v>48.65</v>
      </c>
      <c r="AC19" s="6">
        <v>45</v>
      </c>
      <c r="AD19" s="6">
        <v>45.2</v>
      </c>
      <c r="AE19" s="56">
        <f t="shared" si="3"/>
        <v>45.1</v>
      </c>
      <c r="AF19" s="14" t="s">
        <v>220</v>
      </c>
      <c r="AG19" s="14" t="s">
        <v>221</v>
      </c>
      <c r="AH19" s="14" t="s">
        <v>222</v>
      </c>
      <c r="AI19" s="14" t="s">
        <v>138</v>
      </c>
      <c r="AJ19" s="14" t="s">
        <v>223</v>
      </c>
      <c r="AK19" s="14" t="s">
        <v>224</v>
      </c>
      <c r="AM19" s="11" t="s">
        <v>128</v>
      </c>
      <c r="AN19" s="11" t="s">
        <v>225</v>
      </c>
      <c r="AP19" s="1" t="s">
        <v>129</v>
      </c>
      <c r="AQ19" s="1" t="s">
        <v>137</v>
      </c>
      <c r="AR19" s="6">
        <v>5</v>
      </c>
      <c r="AS19" s="6" t="s">
        <v>215</v>
      </c>
      <c r="AT19" s="6" t="s">
        <v>223</v>
      </c>
      <c r="AU19" s="6">
        <v>5</v>
      </c>
      <c r="AV19" s="36"/>
      <c r="AW19" s="36"/>
      <c r="AX19" s="36"/>
      <c r="AY19" s="36"/>
      <c r="AZ19" s="36"/>
      <c r="BA19" s="35"/>
      <c r="BB19" s="24" t="s">
        <v>226</v>
      </c>
      <c r="BC19" s="24" t="str">
        <f t="shared" si="4"/>
        <v>Not Obese</v>
      </c>
      <c r="BD19" s="6"/>
      <c r="BE19" s="1" t="s">
        <v>73</v>
      </c>
    </row>
    <row r="20" spans="1:57" ht="99.95" customHeight="1">
      <c r="A20" s="29" t="s">
        <v>227</v>
      </c>
      <c r="B20" s="8">
        <v>45479</v>
      </c>
      <c r="C20" s="1" t="s">
        <v>117</v>
      </c>
      <c r="D20" s="6">
        <v>15</v>
      </c>
      <c r="G20" s="6" t="s">
        <v>63</v>
      </c>
      <c r="H20" s="33" t="str">
        <f t="shared" si="0"/>
        <v>Yes</v>
      </c>
      <c r="I20" s="33">
        <v>75.599999999999994</v>
      </c>
      <c r="J20" s="6">
        <v>29.8</v>
      </c>
      <c r="K20" s="6">
        <v>16</v>
      </c>
      <c r="L20" s="6">
        <v>1646</v>
      </c>
      <c r="M20" s="6">
        <v>27.9</v>
      </c>
      <c r="N20" s="6">
        <v>34.200000000000003</v>
      </c>
      <c r="O20" s="6">
        <v>20.100000000000001</v>
      </c>
      <c r="P20" s="6">
        <v>45.3</v>
      </c>
      <c r="Q20" s="6">
        <v>20.8</v>
      </c>
      <c r="R20" s="6">
        <v>27.8</v>
      </c>
      <c r="S20" s="6">
        <v>19</v>
      </c>
      <c r="T20" s="6">
        <v>28.2</v>
      </c>
      <c r="U20" s="30">
        <v>28.1</v>
      </c>
      <c r="V20" s="6">
        <v>58</v>
      </c>
      <c r="W20" s="6">
        <v>41.1</v>
      </c>
      <c r="X20" s="6">
        <v>41</v>
      </c>
      <c r="Y20" s="56">
        <f t="shared" si="6"/>
        <v>41.05</v>
      </c>
      <c r="Z20" s="6">
        <v>44.9</v>
      </c>
      <c r="AA20" s="6">
        <v>45</v>
      </c>
      <c r="AB20" s="56">
        <f t="shared" si="2"/>
        <v>44.95</v>
      </c>
      <c r="AC20" s="6">
        <v>40</v>
      </c>
      <c r="AD20" s="6">
        <v>42.3</v>
      </c>
      <c r="AE20" s="56">
        <f t="shared" si="3"/>
        <v>41.15</v>
      </c>
      <c r="AF20" s="14" t="s">
        <v>64</v>
      </c>
      <c r="AG20" s="14" t="s">
        <v>228</v>
      </c>
      <c r="AH20" s="14" t="s">
        <v>66</v>
      </c>
      <c r="AI20" s="14" t="s">
        <v>95</v>
      </c>
      <c r="AJ20" s="14" t="s">
        <v>99</v>
      </c>
      <c r="AK20" s="14" t="s">
        <v>229</v>
      </c>
      <c r="AL20" s="20" t="s">
        <v>230</v>
      </c>
      <c r="AM20" s="11" t="s">
        <v>76</v>
      </c>
      <c r="AN20" s="11" t="s">
        <v>229</v>
      </c>
      <c r="AO20" s="1" t="s">
        <v>231</v>
      </c>
      <c r="AP20" s="1" t="s">
        <v>228</v>
      </c>
      <c r="AQ20" s="1" t="s">
        <v>232</v>
      </c>
      <c r="AR20" s="6">
        <v>5</v>
      </c>
      <c r="AS20" s="6" t="s">
        <v>95</v>
      </c>
      <c r="AT20" s="6" t="s">
        <v>111</v>
      </c>
      <c r="AU20" s="6">
        <v>5</v>
      </c>
      <c r="AV20" s="36"/>
      <c r="AW20" s="36"/>
      <c r="AX20" s="36"/>
      <c r="AY20" s="36"/>
      <c r="AZ20" s="36"/>
      <c r="BA20" s="35"/>
      <c r="BB20" s="24" t="s">
        <v>233</v>
      </c>
      <c r="BC20" s="24" t="str">
        <f t="shared" si="4"/>
        <v>Obese</v>
      </c>
      <c r="BD20" s="6"/>
      <c r="BE20" s="1" t="s">
        <v>234</v>
      </c>
    </row>
    <row r="21" spans="1:57" ht="20.100000000000001" customHeight="1">
      <c r="A21" s="29" t="s">
        <v>235</v>
      </c>
      <c r="B21" s="8">
        <v>45479</v>
      </c>
      <c r="C21" s="1" t="s">
        <v>62</v>
      </c>
      <c r="D21" s="6">
        <v>32</v>
      </c>
      <c r="G21" s="6" t="s">
        <v>63</v>
      </c>
      <c r="H21" s="33" t="str">
        <f t="shared" si="0"/>
        <v>Yes</v>
      </c>
      <c r="I21" s="33">
        <v>89</v>
      </c>
      <c r="J21" s="6">
        <v>30.1</v>
      </c>
      <c r="K21" s="6">
        <v>21</v>
      </c>
      <c r="L21" s="6">
        <v>1860</v>
      </c>
      <c r="M21" s="6">
        <v>28.6</v>
      </c>
      <c r="N21" s="6">
        <v>33.6</v>
      </c>
      <c r="O21" s="6">
        <v>20.6</v>
      </c>
      <c r="P21" s="6">
        <v>46.1</v>
      </c>
      <c r="Q21" s="6">
        <v>21.6</v>
      </c>
      <c r="R21" s="6">
        <v>26.5</v>
      </c>
      <c r="S21" s="6">
        <v>20.100000000000001</v>
      </c>
      <c r="T21" s="6">
        <v>27.1</v>
      </c>
      <c r="U21" s="30">
        <v>31.5</v>
      </c>
      <c r="V21" s="6">
        <v>64</v>
      </c>
      <c r="W21" s="6">
        <v>47</v>
      </c>
      <c r="X21" s="6">
        <v>47</v>
      </c>
      <c r="Y21" s="56">
        <f t="shared" si="6"/>
        <v>47</v>
      </c>
      <c r="Z21" s="6">
        <v>47.5</v>
      </c>
      <c r="AA21" s="6">
        <v>47.3</v>
      </c>
      <c r="AB21" s="56">
        <f t="shared" si="2"/>
        <v>47.4</v>
      </c>
      <c r="AC21" s="6">
        <v>45.8</v>
      </c>
      <c r="AD21" s="6">
        <v>46</v>
      </c>
      <c r="AE21" s="56">
        <f t="shared" si="3"/>
        <v>45.9</v>
      </c>
      <c r="AF21" s="14" t="s">
        <v>64</v>
      </c>
      <c r="AG21" s="14" t="s">
        <v>232</v>
      </c>
      <c r="AH21" s="14" t="s">
        <v>98</v>
      </c>
      <c r="AI21" s="14" t="s">
        <v>68</v>
      </c>
      <c r="AJ21" s="14" t="s">
        <v>236</v>
      </c>
      <c r="AK21" s="14" t="s">
        <v>101</v>
      </c>
      <c r="AM21" s="11" t="s">
        <v>182</v>
      </c>
      <c r="AN21" s="11" t="s">
        <v>237</v>
      </c>
      <c r="AO21" s="1" t="s">
        <v>238</v>
      </c>
      <c r="AP21" s="1" t="s">
        <v>66</v>
      </c>
      <c r="AQ21" s="1" t="s">
        <v>103</v>
      </c>
      <c r="AR21" s="6">
        <v>5</v>
      </c>
      <c r="AS21" s="6" t="s">
        <v>239</v>
      </c>
      <c r="AT21" s="6" t="s">
        <v>236</v>
      </c>
      <c r="AU21" s="6">
        <v>5</v>
      </c>
      <c r="AV21" s="36"/>
      <c r="AW21" s="36"/>
      <c r="AX21" s="36"/>
      <c r="AY21" s="36"/>
      <c r="AZ21" s="36"/>
      <c r="BA21" s="35"/>
      <c r="BC21" s="24" t="str">
        <f t="shared" si="4"/>
        <v>Obese</v>
      </c>
      <c r="BD21" s="6"/>
      <c r="BE21" s="1" t="s">
        <v>240</v>
      </c>
    </row>
    <row r="22" spans="1:57" ht="159.94999999999999" customHeight="1">
      <c r="A22" s="29" t="s">
        <v>241</v>
      </c>
      <c r="B22" s="8">
        <v>45479</v>
      </c>
      <c r="C22" s="1" t="s">
        <v>84</v>
      </c>
      <c r="D22" s="6">
        <v>23</v>
      </c>
      <c r="G22" s="6" t="s">
        <v>85</v>
      </c>
      <c r="H22" s="33" t="str">
        <f t="shared" si="0"/>
        <v>Yes</v>
      </c>
      <c r="I22" s="33">
        <v>55.5</v>
      </c>
      <c r="J22" s="6">
        <v>35</v>
      </c>
      <c r="K22" s="6">
        <v>7.5</v>
      </c>
      <c r="L22" s="6">
        <v>1177</v>
      </c>
      <c r="M22" s="6">
        <v>22.6</v>
      </c>
      <c r="N22" s="6">
        <v>24.7</v>
      </c>
      <c r="O22" s="6">
        <v>17.100000000000001</v>
      </c>
      <c r="P22" s="6">
        <v>35.299999999999997</v>
      </c>
      <c r="Q22" s="6">
        <v>29.7</v>
      </c>
      <c r="R22" s="6">
        <v>46.7</v>
      </c>
      <c r="S22" s="6">
        <v>26.3</v>
      </c>
      <c r="T22" s="6">
        <v>40.6</v>
      </c>
      <c r="U22" s="30">
        <v>24.7</v>
      </c>
      <c r="V22" s="6">
        <v>55</v>
      </c>
      <c r="W22" s="6">
        <v>40.200000000000003</v>
      </c>
      <c r="X22" s="6">
        <v>40.1</v>
      </c>
      <c r="Y22" s="56">
        <f>AVERAGE(W22,X22)</f>
        <v>40.150000000000006</v>
      </c>
      <c r="Z22" s="6">
        <v>42.5</v>
      </c>
      <c r="AA22" s="6">
        <v>42.8</v>
      </c>
      <c r="AB22" s="56">
        <f t="shared" si="2"/>
        <v>42.65</v>
      </c>
      <c r="AC22" s="6">
        <v>39.5</v>
      </c>
      <c r="AD22" s="6">
        <v>38.4</v>
      </c>
      <c r="AE22" s="56">
        <f t="shared" si="3"/>
        <v>38.950000000000003</v>
      </c>
      <c r="AF22" s="14" t="s">
        <v>107</v>
      </c>
      <c r="AG22" s="14" t="s">
        <v>94</v>
      </c>
      <c r="AH22" s="14" t="s">
        <v>109</v>
      </c>
      <c r="AI22" s="14" t="s">
        <v>242</v>
      </c>
      <c r="AJ22" s="14" t="s">
        <v>79</v>
      </c>
      <c r="AK22" s="14" t="s">
        <v>122</v>
      </c>
      <c r="AL22" s="20" t="s">
        <v>243</v>
      </c>
      <c r="AM22" s="11" t="s">
        <v>107</v>
      </c>
      <c r="AN22" s="11" t="s">
        <v>122</v>
      </c>
      <c r="AO22" s="20" t="s">
        <v>244</v>
      </c>
      <c r="AP22" s="1" t="s">
        <v>94</v>
      </c>
      <c r="AQ22" s="1" t="s">
        <v>109</v>
      </c>
      <c r="AR22" s="6">
        <v>5</v>
      </c>
      <c r="AS22" s="6" t="s">
        <v>242</v>
      </c>
      <c r="AT22" s="6" t="s">
        <v>79</v>
      </c>
      <c r="AU22" s="6">
        <v>6</v>
      </c>
      <c r="AV22" s="36"/>
      <c r="AW22" s="36"/>
      <c r="AX22" s="36"/>
      <c r="AY22" s="36"/>
      <c r="AZ22" s="36"/>
      <c r="BA22" s="35"/>
      <c r="BB22" s="24" t="s">
        <v>245</v>
      </c>
      <c r="BC22" s="24" t="str">
        <f t="shared" si="4"/>
        <v>Not Obese</v>
      </c>
      <c r="BD22" s="6"/>
      <c r="BE22" s="1" t="s">
        <v>246</v>
      </c>
    </row>
    <row r="23" spans="1:57" ht="140.1" customHeight="1">
      <c r="A23" s="29" t="s">
        <v>247</v>
      </c>
      <c r="B23" s="8">
        <v>45479</v>
      </c>
      <c r="C23" s="1" t="s">
        <v>75</v>
      </c>
      <c r="D23" s="6">
        <v>20</v>
      </c>
      <c r="G23" s="6" t="s">
        <v>85</v>
      </c>
      <c r="H23" s="33" t="str">
        <f t="shared" si="0"/>
        <v>Yes</v>
      </c>
      <c r="I23" s="33">
        <v>76</v>
      </c>
      <c r="J23" s="6">
        <v>37</v>
      </c>
      <c r="K23" s="6">
        <v>13</v>
      </c>
      <c r="L23" s="6">
        <v>1486</v>
      </c>
      <c r="M23" s="6">
        <v>23.9</v>
      </c>
      <c r="N23" s="6">
        <v>21.8</v>
      </c>
      <c r="O23" s="6">
        <v>16.600000000000001</v>
      </c>
      <c r="P23" s="6">
        <v>38.200000000000003</v>
      </c>
      <c r="Q23" s="6">
        <v>35.200000000000003</v>
      </c>
      <c r="R23" s="6">
        <v>47.9</v>
      </c>
      <c r="S23" s="6">
        <v>30.6</v>
      </c>
      <c r="T23" s="6">
        <v>44.3</v>
      </c>
      <c r="U23" s="30">
        <v>30.8</v>
      </c>
      <c r="V23" s="6">
        <v>64</v>
      </c>
      <c r="W23" s="6">
        <v>42.1</v>
      </c>
      <c r="X23" s="6">
        <v>43.4</v>
      </c>
      <c r="Y23" s="56">
        <f t="shared" si="6"/>
        <v>42.75</v>
      </c>
      <c r="Z23" s="6">
        <v>46</v>
      </c>
      <c r="AA23" s="6">
        <v>46</v>
      </c>
      <c r="AB23" s="56">
        <f t="shared" si="2"/>
        <v>46</v>
      </c>
      <c r="AC23" s="6">
        <v>39.799999999999997</v>
      </c>
      <c r="AD23" s="6">
        <v>39</v>
      </c>
      <c r="AE23" s="56">
        <f t="shared" si="3"/>
        <v>39.4</v>
      </c>
      <c r="AF23" s="14" t="s">
        <v>248</v>
      </c>
      <c r="AG23" s="14" t="s">
        <v>249</v>
      </c>
      <c r="AH23" s="14" t="s">
        <v>178</v>
      </c>
      <c r="AI23" s="14" t="s">
        <v>250</v>
      </c>
      <c r="AJ23" s="14" t="s">
        <v>173</v>
      </c>
      <c r="AK23" s="14" t="s">
        <v>251</v>
      </c>
      <c r="AL23" s="20" t="s">
        <v>252</v>
      </c>
      <c r="AM23" s="11" t="s">
        <v>248</v>
      </c>
      <c r="AN23" s="11" t="s">
        <v>251</v>
      </c>
      <c r="AO23" s="1" t="s">
        <v>253</v>
      </c>
      <c r="AP23" s="1" t="s">
        <v>249</v>
      </c>
      <c r="AQ23" s="1" t="s">
        <v>178</v>
      </c>
      <c r="AR23" s="6">
        <v>5</v>
      </c>
      <c r="AS23" s="6" t="s">
        <v>250</v>
      </c>
      <c r="AT23" s="6" t="s">
        <v>173</v>
      </c>
      <c r="AU23" s="6">
        <v>5</v>
      </c>
      <c r="AV23" s="36"/>
      <c r="AW23" s="36"/>
      <c r="AX23" s="36"/>
      <c r="AY23" s="36"/>
      <c r="AZ23" s="36"/>
      <c r="BA23" s="35"/>
      <c r="BB23" s="24" t="s">
        <v>254</v>
      </c>
      <c r="BC23" s="24" t="str">
        <f t="shared" si="4"/>
        <v>Obese</v>
      </c>
      <c r="BD23" s="6"/>
      <c r="BE23" s="1" t="s">
        <v>255</v>
      </c>
    </row>
    <row r="24" spans="1:57" ht="99.95" customHeight="1">
      <c r="A24" s="29" t="s">
        <v>256</v>
      </c>
      <c r="B24" s="8">
        <v>45481</v>
      </c>
      <c r="C24" s="1" t="s">
        <v>62</v>
      </c>
      <c r="D24" s="6">
        <v>31</v>
      </c>
      <c r="G24" s="6" t="s">
        <v>85</v>
      </c>
      <c r="H24" s="33" t="str">
        <f t="shared" si="0"/>
        <v>No</v>
      </c>
      <c r="I24" s="33">
        <v>50.2</v>
      </c>
      <c r="J24" s="6">
        <v>29.3</v>
      </c>
      <c r="K24" s="6">
        <v>3</v>
      </c>
      <c r="L24" s="6">
        <v>1120</v>
      </c>
      <c r="M24" s="6">
        <v>25.2</v>
      </c>
      <c r="N24" s="6">
        <v>28.9</v>
      </c>
      <c r="O24" s="6">
        <v>19.899999999999999</v>
      </c>
      <c r="P24" s="6">
        <v>37.200000000000003</v>
      </c>
      <c r="Q24" s="6">
        <v>23.2</v>
      </c>
      <c r="R24" s="6">
        <v>39.799999999999997</v>
      </c>
      <c r="S24" s="6">
        <v>19.899999999999999</v>
      </c>
      <c r="T24" s="6">
        <v>32.4</v>
      </c>
      <c r="U24" s="6">
        <v>19.600000000000001</v>
      </c>
      <c r="V24" s="6">
        <v>45</v>
      </c>
      <c r="W24" s="6">
        <v>38.799999999999997</v>
      </c>
      <c r="X24" s="6">
        <v>38.4</v>
      </c>
      <c r="Y24" s="56">
        <f t="shared" si="6"/>
        <v>38.599999999999994</v>
      </c>
      <c r="Z24" s="6">
        <v>44</v>
      </c>
      <c r="AA24" s="6">
        <v>44.3</v>
      </c>
      <c r="AB24" s="56">
        <f t="shared" si="2"/>
        <v>44.15</v>
      </c>
      <c r="AC24" s="6">
        <v>43.4</v>
      </c>
      <c r="AD24" s="6">
        <v>44</v>
      </c>
      <c r="AE24" s="56">
        <f t="shared" ref="AE24:AE31" si="7">AVERAGE(AC24,AD24)</f>
        <v>43.7</v>
      </c>
      <c r="AF24" s="14" t="s">
        <v>257</v>
      </c>
      <c r="AG24" s="14" t="s">
        <v>201</v>
      </c>
      <c r="AH24" s="14" t="s">
        <v>258</v>
      </c>
      <c r="AI24" s="14" t="s">
        <v>259</v>
      </c>
      <c r="AJ24" s="14" t="s">
        <v>260</v>
      </c>
      <c r="AK24" s="14" t="s">
        <v>261</v>
      </c>
      <c r="AM24" s="11" t="s">
        <v>200</v>
      </c>
      <c r="AN24" s="11" t="s">
        <v>261</v>
      </c>
      <c r="AP24" s="1" t="s">
        <v>201</v>
      </c>
      <c r="AQ24" s="1" t="s">
        <v>258</v>
      </c>
      <c r="AR24" s="6">
        <v>6</v>
      </c>
      <c r="AS24" s="6" t="s">
        <v>259</v>
      </c>
      <c r="AT24" s="6" t="s">
        <v>260</v>
      </c>
      <c r="AU24" s="6">
        <v>5</v>
      </c>
      <c r="AV24" s="36"/>
      <c r="AW24" s="36"/>
      <c r="AX24" s="36"/>
      <c r="AY24" s="36"/>
      <c r="AZ24" s="36"/>
      <c r="BA24" s="35"/>
      <c r="BB24" s="24" t="s">
        <v>262</v>
      </c>
      <c r="BC24" s="24" t="str">
        <f t="shared" si="4"/>
        <v>Not Obese</v>
      </c>
      <c r="BD24" s="6"/>
      <c r="BE24" s="1" t="s">
        <v>73</v>
      </c>
    </row>
    <row r="25" spans="1:57" ht="120" customHeight="1">
      <c r="A25" s="29" t="s">
        <v>263</v>
      </c>
      <c r="B25" s="8">
        <v>45481</v>
      </c>
      <c r="C25" s="1" t="s">
        <v>117</v>
      </c>
      <c r="D25" s="6">
        <v>24</v>
      </c>
      <c r="G25" s="6" t="s">
        <v>85</v>
      </c>
      <c r="H25" s="33" t="str">
        <f t="shared" si="0"/>
        <v>No</v>
      </c>
      <c r="I25" s="33">
        <v>43.3</v>
      </c>
      <c r="J25" s="6">
        <v>26.8</v>
      </c>
      <c r="K25" s="6">
        <v>1.5</v>
      </c>
      <c r="L25" s="6">
        <v>1018</v>
      </c>
      <c r="M25" s="6">
        <v>25.4</v>
      </c>
      <c r="N25" s="6">
        <v>30.6</v>
      </c>
      <c r="O25" s="6">
        <v>20.6</v>
      </c>
      <c r="P25" s="6">
        <v>36.1</v>
      </c>
      <c r="Q25" s="6">
        <v>20.5</v>
      </c>
      <c r="R25" s="6">
        <v>37</v>
      </c>
      <c r="S25" s="6">
        <v>17.3</v>
      </c>
      <c r="T25" s="6">
        <v>29.2</v>
      </c>
      <c r="U25" s="6">
        <v>17.600000000000001</v>
      </c>
      <c r="V25" s="6">
        <v>38</v>
      </c>
      <c r="W25" s="6">
        <v>36.299999999999997</v>
      </c>
      <c r="X25" s="6">
        <v>35.299999999999997</v>
      </c>
      <c r="Y25" s="56">
        <f t="shared" si="6"/>
        <v>35.799999999999997</v>
      </c>
      <c r="Z25" s="6">
        <v>44.2</v>
      </c>
      <c r="AA25" s="6">
        <v>42.8</v>
      </c>
      <c r="AB25" s="56">
        <f t="shared" ref="AB25:AB88" si="8">AVERAGE(Z25,AA25)</f>
        <v>43.5</v>
      </c>
      <c r="AC25" s="6">
        <v>40.5</v>
      </c>
      <c r="AD25" s="6">
        <v>43.5</v>
      </c>
      <c r="AE25" s="56">
        <f t="shared" si="7"/>
        <v>42</v>
      </c>
      <c r="AF25" s="14" t="s">
        <v>264</v>
      </c>
      <c r="AG25" s="14" t="s">
        <v>93</v>
      </c>
      <c r="AH25" s="14" t="s">
        <v>88</v>
      </c>
      <c r="AI25" s="14" t="s">
        <v>110</v>
      </c>
      <c r="AJ25" s="14" t="s">
        <v>121</v>
      </c>
      <c r="AK25" s="14" t="s">
        <v>90</v>
      </c>
      <c r="AL25" s="20" t="s">
        <v>265</v>
      </c>
      <c r="AM25" s="11" t="s">
        <v>264</v>
      </c>
      <c r="AN25" s="11" t="s">
        <v>90</v>
      </c>
      <c r="AO25" s="1" t="s">
        <v>266</v>
      </c>
      <c r="AP25" s="1" t="s">
        <v>93</v>
      </c>
      <c r="AQ25" s="1" t="s">
        <v>108</v>
      </c>
      <c r="AR25" s="6">
        <v>5</v>
      </c>
      <c r="AS25" s="6" t="s">
        <v>110</v>
      </c>
      <c r="AT25" s="6" t="s">
        <v>71</v>
      </c>
      <c r="AU25" s="6">
        <v>5</v>
      </c>
      <c r="AV25" s="36"/>
      <c r="AW25" s="36"/>
      <c r="AX25" s="36"/>
      <c r="AY25" s="36"/>
      <c r="AZ25" s="36"/>
      <c r="BA25" s="35"/>
      <c r="BB25" s="24" t="s">
        <v>267</v>
      </c>
      <c r="BC25" s="24" t="str">
        <f t="shared" si="4"/>
        <v>Not Obese</v>
      </c>
      <c r="BD25" s="6"/>
      <c r="BE25" s="1" t="s">
        <v>73</v>
      </c>
    </row>
    <row r="26" spans="1:57" ht="80.099999999999994" customHeight="1">
      <c r="A26" s="29" t="s">
        <v>268</v>
      </c>
      <c r="B26" s="8">
        <v>45481</v>
      </c>
      <c r="C26" s="1" t="s">
        <v>84</v>
      </c>
      <c r="D26" s="137">
        <v>32</v>
      </c>
      <c r="E26" s="137">
        <v>36</v>
      </c>
      <c r="F26" s="137">
        <v>41</v>
      </c>
      <c r="G26" s="6" t="s">
        <v>63</v>
      </c>
      <c r="H26" s="33" t="str">
        <f t="shared" si="0"/>
        <v>Yes</v>
      </c>
      <c r="I26" s="33">
        <v>110.8</v>
      </c>
      <c r="J26" s="6">
        <v>33.700000000000003</v>
      </c>
      <c r="K26" s="6">
        <v>23</v>
      </c>
      <c r="L26" s="6">
        <v>2183</v>
      </c>
      <c r="M26" s="6">
        <v>28.3</v>
      </c>
      <c r="N26" s="6">
        <v>32.799999999999997</v>
      </c>
      <c r="O26" s="6">
        <v>19.3</v>
      </c>
      <c r="P26" s="6">
        <v>45.7</v>
      </c>
      <c r="Q26" s="6">
        <v>24.4</v>
      </c>
      <c r="R26" s="6">
        <v>31.1</v>
      </c>
      <c r="S26" s="6">
        <v>23</v>
      </c>
      <c r="T26" s="6">
        <v>31.9</v>
      </c>
      <c r="U26" s="6">
        <v>35</v>
      </c>
      <c r="V26" s="6">
        <v>66</v>
      </c>
      <c r="W26" s="6">
        <v>54.6</v>
      </c>
      <c r="X26" s="6">
        <v>55.7</v>
      </c>
      <c r="Y26" s="56">
        <f t="shared" ref="Y26:Y89" si="9">AVERAGE(W26,X26)</f>
        <v>55.150000000000006</v>
      </c>
      <c r="Z26" s="6">
        <v>53.8</v>
      </c>
      <c r="AA26" s="6">
        <v>53.6</v>
      </c>
      <c r="AB26" s="56">
        <f t="shared" si="8"/>
        <v>53.7</v>
      </c>
      <c r="AC26" s="6">
        <v>47.7</v>
      </c>
      <c r="AD26" s="6">
        <v>49.6</v>
      </c>
      <c r="AE26" s="56">
        <f t="shared" si="7"/>
        <v>48.650000000000006</v>
      </c>
      <c r="AF26" s="14" t="s">
        <v>269</v>
      </c>
      <c r="AG26" s="14" t="s">
        <v>161</v>
      </c>
      <c r="AH26" s="14" t="s">
        <v>270</v>
      </c>
      <c r="AI26" s="14" t="s">
        <v>162</v>
      </c>
      <c r="AJ26" s="14" t="s">
        <v>271</v>
      </c>
      <c r="AK26" s="14" t="s">
        <v>272</v>
      </c>
      <c r="AM26" s="11" t="s">
        <v>269</v>
      </c>
      <c r="AN26" s="11" t="s">
        <v>272</v>
      </c>
      <c r="AO26" s="1" t="s">
        <v>273</v>
      </c>
      <c r="AP26" s="1" t="s">
        <v>161</v>
      </c>
      <c r="AQ26" s="1" t="s">
        <v>270</v>
      </c>
      <c r="AR26" s="6">
        <v>5</v>
      </c>
      <c r="AS26" s="6" t="s">
        <v>162</v>
      </c>
      <c r="AT26" s="6" t="s">
        <v>271</v>
      </c>
      <c r="AU26" s="6">
        <v>8</v>
      </c>
      <c r="AV26" s="36"/>
      <c r="AW26" s="36"/>
      <c r="AX26" s="36"/>
      <c r="AY26" s="36"/>
      <c r="AZ26" s="36"/>
      <c r="BA26" s="35"/>
      <c r="BB26" s="24" t="s">
        <v>274</v>
      </c>
      <c r="BC26" s="24" t="str">
        <f t="shared" si="4"/>
        <v>Obese</v>
      </c>
      <c r="BD26" s="6"/>
      <c r="BE26" s="1" t="s">
        <v>73</v>
      </c>
    </row>
    <row r="27" spans="1:57" ht="20.100000000000001" customHeight="1">
      <c r="A27" s="29" t="s">
        <v>275</v>
      </c>
      <c r="B27" s="8">
        <v>45482</v>
      </c>
      <c r="C27" s="1" t="s">
        <v>117</v>
      </c>
      <c r="D27" s="6">
        <v>31</v>
      </c>
      <c r="G27" s="6" t="s">
        <v>63</v>
      </c>
      <c r="H27" s="33" t="str">
        <f t="shared" si="0"/>
        <v>No</v>
      </c>
      <c r="I27" s="33">
        <v>55.9</v>
      </c>
      <c r="J27" s="6">
        <v>22.3</v>
      </c>
      <c r="K27" s="6">
        <v>4.5</v>
      </c>
      <c r="L27" s="6">
        <v>1376</v>
      </c>
      <c r="M27" s="6">
        <v>32.1</v>
      </c>
      <c r="N27" s="6">
        <v>38.700000000000003</v>
      </c>
      <c r="O27" s="6">
        <v>25.5</v>
      </c>
      <c r="P27" s="6">
        <v>49.4</v>
      </c>
      <c r="Q27" s="6">
        <v>14.8</v>
      </c>
      <c r="R27" s="6">
        <v>21.4</v>
      </c>
      <c r="S27" s="6">
        <v>12.7</v>
      </c>
      <c r="T27" s="6">
        <v>21.2</v>
      </c>
      <c r="U27" s="6">
        <v>19.8</v>
      </c>
      <c r="V27" s="6">
        <v>31</v>
      </c>
      <c r="W27" s="6">
        <v>36.700000000000003</v>
      </c>
      <c r="X27" s="6">
        <v>36.700000000000003</v>
      </c>
      <c r="Y27" s="56">
        <f t="shared" si="9"/>
        <v>36.700000000000003</v>
      </c>
      <c r="Z27" s="6">
        <v>46.2</v>
      </c>
      <c r="AA27" s="6">
        <v>46.1</v>
      </c>
      <c r="AB27" s="56">
        <f t="shared" si="8"/>
        <v>46.150000000000006</v>
      </c>
      <c r="AC27" s="6">
        <v>47.1</v>
      </c>
      <c r="AD27" s="6">
        <v>47.3</v>
      </c>
      <c r="AE27" s="56">
        <f t="shared" si="7"/>
        <v>47.2</v>
      </c>
      <c r="AF27" s="14" t="s">
        <v>276</v>
      </c>
      <c r="AG27" s="14" t="s">
        <v>277</v>
      </c>
      <c r="AH27" s="14" t="s">
        <v>278</v>
      </c>
      <c r="AI27" s="14" t="s">
        <v>271</v>
      </c>
      <c r="AJ27" s="14" t="s">
        <v>279</v>
      </c>
      <c r="AK27" s="14" t="s">
        <v>280</v>
      </c>
      <c r="AL27" s="1" t="s">
        <v>281</v>
      </c>
      <c r="AM27" s="11" t="s">
        <v>149</v>
      </c>
      <c r="AN27" s="11" t="s">
        <v>280</v>
      </c>
      <c r="AP27" s="1" t="s">
        <v>282</v>
      </c>
      <c r="AQ27" s="1" t="s">
        <v>278</v>
      </c>
      <c r="AR27" s="6">
        <v>5</v>
      </c>
      <c r="AS27" s="6" t="s">
        <v>271</v>
      </c>
      <c r="AT27" s="6" t="s">
        <v>279</v>
      </c>
      <c r="AU27" s="6">
        <v>6</v>
      </c>
      <c r="AV27" s="36"/>
      <c r="AW27" s="36"/>
      <c r="AX27" s="36"/>
      <c r="AY27" s="36"/>
      <c r="AZ27" s="36"/>
      <c r="BA27" s="35"/>
      <c r="BC27" s="24" t="str">
        <f t="shared" si="4"/>
        <v>Not Obese</v>
      </c>
      <c r="BD27" s="6"/>
      <c r="BE27" s="1" t="s">
        <v>73</v>
      </c>
    </row>
    <row r="28" spans="1:57" ht="20.100000000000001" customHeight="1">
      <c r="A28" s="29" t="s">
        <v>283</v>
      </c>
      <c r="B28" s="8">
        <v>45482</v>
      </c>
      <c r="C28" s="1" t="s">
        <v>62</v>
      </c>
      <c r="D28" s="6">
        <v>31</v>
      </c>
      <c r="G28" s="6" t="s">
        <v>63</v>
      </c>
      <c r="H28" s="33" t="str">
        <f t="shared" si="0"/>
        <v>No</v>
      </c>
      <c r="I28" s="33">
        <v>65.3</v>
      </c>
      <c r="J28" s="6">
        <v>19.100000000000001</v>
      </c>
      <c r="K28" s="6">
        <v>7</v>
      </c>
      <c r="L28" s="6">
        <v>1543</v>
      </c>
      <c r="M28" s="6">
        <v>33.200000000000003</v>
      </c>
      <c r="N28" s="6">
        <v>38.200000000000003</v>
      </c>
      <c r="O28" s="6">
        <v>27.2</v>
      </c>
      <c r="P28" s="6">
        <v>50.5</v>
      </c>
      <c r="Q28" s="6">
        <v>13.3</v>
      </c>
      <c r="R28" s="6">
        <v>18.2</v>
      </c>
      <c r="S28" s="6">
        <v>11.6</v>
      </c>
      <c r="T28" s="6">
        <v>17.7</v>
      </c>
      <c r="U28" s="6">
        <v>22.1</v>
      </c>
      <c r="V28" s="6">
        <v>39</v>
      </c>
      <c r="W28" s="6">
        <v>40</v>
      </c>
      <c r="X28" s="6">
        <v>38.6</v>
      </c>
      <c r="Y28" s="56">
        <f t="shared" si="9"/>
        <v>39.299999999999997</v>
      </c>
      <c r="Z28" s="6">
        <v>46.6</v>
      </c>
      <c r="AA28" s="6">
        <v>47.5</v>
      </c>
      <c r="AB28" s="56">
        <f t="shared" si="8"/>
        <v>47.05</v>
      </c>
      <c r="AC28" s="6">
        <v>46.3</v>
      </c>
      <c r="AD28" s="6">
        <v>45.1</v>
      </c>
      <c r="AE28" s="56">
        <f t="shared" si="7"/>
        <v>45.7</v>
      </c>
      <c r="AF28" s="14" t="s">
        <v>86</v>
      </c>
      <c r="AG28" s="14" t="s">
        <v>137</v>
      </c>
      <c r="AH28" s="14" t="s">
        <v>201</v>
      </c>
      <c r="AI28" s="14" t="s">
        <v>132</v>
      </c>
      <c r="AJ28" s="14" t="s">
        <v>284</v>
      </c>
      <c r="AK28" s="14" t="s">
        <v>285</v>
      </c>
      <c r="AM28" s="11" t="s">
        <v>86</v>
      </c>
      <c r="AN28" s="11" t="s">
        <v>285</v>
      </c>
      <c r="AP28" s="1" t="s">
        <v>137</v>
      </c>
      <c r="AQ28" s="1" t="s">
        <v>201</v>
      </c>
      <c r="AR28" s="6">
        <v>6</v>
      </c>
      <c r="AS28" s="6" t="s">
        <v>132</v>
      </c>
      <c r="AT28" s="6" t="s">
        <v>284</v>
      </c>
      <c r="AU28" s="6">
        <v>6</v>
      </c>
      <c r="AV28" s="36"/>
      <c r="AW28" s="36"/>
      <c r="AX28" s="36"/>
      <c r="AY28" s="36"/>
      <c r="AZ28" s="36"/>
      <c r="BA28" s="35"/>
      <c r="BC28" s="24" t="str">
        <f t="shared" si="4"/>
        <v>Not Obese</v>
      </c>
      <c r="BD28" s="6"/>
      <c r="BE28" s="1" t="s">
        <v>73</v>
      </c>
    </row>
    <row r="29" spans="1:57" ht="219.95" customHeight="1">
      <c r="A29" s="29" t="s">
        <v>286</v>
      </c>
      <c r="B29" s="8">
        <v>45482</v>
      </c>
      <c r="C29" s="1" t="s">
        <v>84</v>
      </c>
      <c r="D29" s="6">
        <v>15</v>
      </c>
      <c r="G29" s="6" t="s">
        <v>85</v>
      </c>
      <c r="H29" s="33" t="str">
        <f t="shared" si="0"/>
        <v>Yes</v>
      </c>
      <c r="I29" s="33">
        <v>81.2</v>
      </c>
      <c r="J29" s="6">
        <v>41.3</v>
      </c>
      <c r="K29" s="6">
        <v>16</v>
      </c>
      <c r="L29" s="6">
        <v>1533</v>
      </c>
      <c r="M29" s="6">
        <v>21.4</v>
      </c>
      <c r="N29" s="6">
        <v>17.7</v>
      </c>
      <c r="O29" s="6">
        <v>14.6</v>
      </c>
      <c r="P29" s="6">
        <v>35.1</v>
      </c>
      <c r="Q29" s="6">
        <v>38.700000000000003</v>
      </c>
      <c r="R29" s="6">
        <v>55</v>
      </c>
      <c r="S29" s="6">
        <v>34.4</v>
      </c>
      <c r="T29" s="6">
        <v>52.5</v>
      </c>
      <c r="U29" s="6">
        <v>32.700000000000003</v>
      </c>
      <c r="V29" s="6">
        <v>67</v>
      </c>
      <c r="W29" s="6">
        <v>42.5</v>
      </c>
      <c r="X29" s="6">
        <v>42.9</v>
      </c>
      <c r="Y29" s="56">
        <f t="shared" si="9"/>
        <v>42.7</v>
      </c>
      <c r="Z29" s="6">
        <v>46.5</v>
      </c>
      <c r="AA29" s="6">
        <v>46.5</v>
      </c>
      <c r="AB29" s="56">
        <f t="shared" si="8"/>
        <v>46.5</v>
      </c>
      <c r="AC29" s="6">
        <v>41.5</v>
      </c>
      <c r="AD29" s="6">
        <v>41</v>
      </c>
      <c r="AE29" s="56">
        <f t="shared" si="7"/>
        <v>41.25</v>
      </c>
      <c r="AF29" s="14" t="s">
        <v>287</v>
      </c>
      <c r="AG29" s="14" t="s">
        <v>288</v>
      </c>
      <c r="AH29" s="14" t="s">
        <v>289</v>
      </c>
      <c r="AI29" s="14" t="s">
        <v>290</v>
      </c>
      <c r="AJ29" s="14" t="s">
        <v>291</v>
      </c>
      <c r="AK29" s="14" t="s">
        <v>292</v>
      </c>
      <c r="AL29" s="20" t="s">
        <v>293</v>
      </c>
      <c r="AM29" s="11" t="s">
        <v>287</v>
      </c>
      <c r="AN29" s="11" t="s">
        <v>292</v>
      </c>
      <c r="AO29" s="20" t="s">
        <v>294</v>
      </c>
      <c r="AP29" s="1" t="s">
        <v>288</v>
      </c>
      <c r="AQ29" s="1" t="s">
        <v>295</v>
      </c>
      <c r="AR29" s="6">
        <v>5</v>
      </c>
      <c r="AS29" s="6" t="s">
        <v>290</v>
      </c>
      <c r="AT29" s="6" t="s">
        <v>291</v>
      </c>
      <c r="AU29" s="6">
        <v>5</v>
      </c>
      <c r="AV29" s="36"/>
      <c r="AW29" s="36"/>
      <c r="AX29" s="36"/>
      <c r="AY29" s="36"/>
      <c r="AZ29" s="36"/>
      <c r="BA29" s="35"/>
      <c r="BC29" s="24" t="str">
        <f t="shared" si="4"/>
        <v>Obese</v>
      </c>
      <c r="BD29" s="6"/>
      <c r="BE29" s="1" t="s">
        <v>73</v>
      </c>
    </row>
    <row r="30" spans="1:57" ht="120" customHeight="1">
      <c r="A30" s="29" t="s">
        <v>296</v>
      </c>
      <c r="B30" s="8">
        <v>45486</v>
      </c>
      <c r="C30" s="1" t="s">
        <v>117</v>
      </c>
      <c r="D30" s="6">
        <v>27</v>
      </c>
      <c r="G30" s="6" t="s">
        <v>63</v>
      </c>
      <c r="H30" s="33" t="str">
        <f t="shared" si="0"/>
        <v>No</v>
      </c>
      <c r="I30" s="33">
        <v>59</v>
      </c>
      <c r="J30" s="6">
        <v>22.2</v>
      </c>
      <c r="K30" s="6">
        <v>7</v>
      </c>
      <c r="L30" s="6">
        <v>1421</v>
      </c>
      <c r="M30" s="6">
        <v>31.1</v>
      </c>
      <c r="N30" s="6">
        <v>37.6</v>
      </c>
      <c r="O30" s="6">
        <v>24.8</v>
      </c>
      <c r="P30" s="6">
        <v>48.5</v>
      </c>
      <c r="Q30" s="6">
        <v>15.1</v>
      </c>
      <c r="R30" s="6">
        <v>21.2</v>
      </c>
      <c r="S30" s="6">
        <v>13.2</v>
      </c>
      <c r="T30" s="6">
        <v>21</v>
      </c>
      <c r="U30" s="6">
        <v>21.9</v>
      </c>
      <c r="V30" s="6">
        <v>38</v>
      </c>
      <c r="W30" s="6">
        <v>37.200000000000003</v>
      </c>
      <c r="X30" s="6">
        <v>37.4</v>
      </c>
      <c r="Y30" s="56">
        <f t="shared" si="9"/>
        <v>37.299999999999997</v>
      </c>
      <c r="Z30" s="6">
        <v>46</v>
      </c>
      <c r="AA30" s="6">
        <v>46</v>
      </c>
      <c r="AB30" s="56">
        <f t="shared" si="8"/>
        <v>46</v>
      </c>
      <c r="AC30" s="6">
        <v>42</v>
      </c>
      <c r="AD30" s="6">
        <v>42.3</v>
      </c>
      <c r="AE30" s="56">
        <f t="shared" si="7"/>
        <v>42.15</v>
      </c>
      <c r="AF30" s="14" t="s">
        <v>102</v>
      </c>
      <c r="AG30" s="14" t="s">
        <v>77</v>
      </c>
      <c r="AH30" s="14" t="s">
        <v>297</v>
      </c>
      <c r="AI30" s="14" t="s">
        <v>111</v>
      </c>
      <c r="AJ30" s="14" t="s">
        <v>298</v>
      </c>
      <c r="AK30" s="14" t="s">
        <v>70</v>
      </c>
      <c r="AL30" s="20" t="s">
        <v>299</v>
      </c>
      <c r="AM30" s="11" t="s">
        <v>102</v>
      </c>
      <c r="AN30" s="11" t="s">
        <v>70</v>
      </c>
      <c r="AP30" s="1" t="s">
        <v>77</v>
      </c>
      <c r="AQ30" s="1" t="s">
        <v>78</v>
      </c>
      <c r="AR30" s="6">
        <v>5</v>
      </c>
      <c r="AS30" s="6" t="s">
        <v>111</v>
      </c>
      <c r="AT30" s="6" t="s">
        <v>183</v>
      </c>
      <c r="AU30" s="6">
        <v>5</v>
      </c>
      <c r="AV30" s="36"/>
      <c r="AW30" s="36"/>
      <c r="AX30" s="36"/>
      <c r="AY30" s="36"/>
      <c r="AZ30" s="36"/>
      <c r="BA30" s="35"/>
      <c r="BB30" s="24" t="s">
        <v>300</v>
      </c>
      <c r="BC30" s="24" t="str">
        <f t="shared" si="4"/>
        <v>Not Obese</v>
      </c>
      <c r="BD30" s="6"/>
      <c r="BE30" s="1" t="s">
        <v>73</v>
      </c>
    </row>
    <row r="31" spans="1:57" ht="39.950000000000003" customHeight="1">
      <c r="A31" s="29" t="s">
        <v>301</v>
      </c>
      <c r="B31" s="8">
        <v>45486</v>
      </c>
      <c r="C31" s="1" t="s">
        <v>62</v>
      </c>
      <c r="D31" s="6">
        <v>32</v>
      </c>
      <c r="G31" s="6" t="s">
        <v>85</v>
      </c>
      <c r="H31" s="33" t="str">
        <f t="shared" si="0"/>
        <v>Yes</v>
      </c>
      <c r="I31" s="33">
        <v>78.900000000000006</v>
      </c>
      <c r="J31" s="6">
        <v>32.200000000000003</v>
      </c>
      <c r="K31" s="6">
        <v>9</v>
      </c>
      <c r="L31" s="6">
        <v>1573</v>
      </c>
      <c r="M31" s="6">
        <v>28</v>
      </c>
      <c r="N31" s="6">
        <v>26</v>
      </c>
      <c r="O31" s="6">
        <v>19.7</v>
      </c>
      <c r="P31" s="6">
        <v>42.7</v>
      </c>
      <c r="Q31" s="6">
        <v>31.2</v>
      </c>
      <c r="R31" s="6">
        <v>41.3</v>
      </c>
      <c r="S31" s="6">
        <v>26.2</v>
      </c>
      <c r="T31" s="6">
        <v>37.299999999999997</v>
      </c>
      <c r="U31" s="6">
        <v>28.6</v>
      </c>
      <c r="V31" s="6">
        <v>54</v>
      </c>
      <c r="W31" s="6">
        <v>44.4</v>
      </c>
      <c r="X31" s="6">
        <v>43.8</v>
      </c>
      <c r="Y31" s="56">
        <f t="shared" si="9"/>
        <v>44.099999999999994</v>
      </c>
      <c r="Z31" s="6">
        <v>47</v>
      </c>
      <c r="AA31" s="6">
        <v>46.5</v>
      </c>
      <c r="AB31" s="56">
        <f t="shared" si="8"/>
        <v>46.75</v>
      </c>
      <c r="AC31" s="6">
        <v>43.4</v>
      </c>
      <c r="AD31" s="6">
        <v>42.5</v>
      </c>
      <c r="AE31" s="56">
        <f t="shared" si="7"/>
        <v>42.95</v>
      </c>
      <c r="AF31" s="14" t="s">
        <v>264</v>
      </c>
      <c r="AG31" s="14" t="s">
        <v>93</v>
      </c>
      <c r="AH31" s="14" t="s">
        <v>108</v>
      </c>
      <c r="AI31" s="14" t="s">
        <v>302</v>
      </c>
      <c r="AJ31" s="14" t="s">
        <v>242</v>
      </c>
      <c r="AK31" s="14" t="s">
        <v>303</v>
      </c>
      <c r="AM31" s="11" t="s">
        <v>264</v>
      </c>
      <c r="AN31" s="11" t="s">
        <v>303</v>
      </c>
      <c r="AP31" s="1" t="s">
        <v>93</v>
      </c>
      <c r="AQ31" s="1" t="s">
        <v>108</v>
      </c>
      <c r="AR31" s="6">
        <v>5</v>
      </c>
      <c r="AS31" s="6" t="s">
        <v>302</v>
      </c>
      <c r="AT31" s="6" t="s">
        <v>242</v>
      </c>
      <c r="AU31" s="6">
        <v>6</v>
      </c>
      <c r="AV31" s="36"/>
      <c r="AW31" s="36"/>
      <c r="AX31" s="36"/>
      <c r="AY31" s="36"/>
      <c r="AZ31" s="36"/>
      <c r="BA31" s="35"/>
      <c r="BB31" s="24" t="s">
        <v>304</v>
      </c>
      <c r="BC31" s="24" t="str">
        <f t="shared" si="4"/>
        <v>Obese</v>
      </c>
      <c r="BD31" s="6"/>
      <c r="BE31" s="1" t="s">
        <v>73</v>
      </c>
    </row>
    <row r="32" spans="1:57" ht="80.099999999999994" customHeight="1">
      <c r="A32" s="29" t="s">
        <v>305</v>
      </c>
      <c r="B32" s="8">
        <v>45486</v>
      </c>
      <c r="C32" s="1" t="s">
        <v>84</v>
      </c>
      <c r="D32" s="6">
        <v>27</v>
      </c>
      <c r="G32" s="6" t="s">
        <v>85</v>
      </c>
      <c r="H32" s="33" t="str">
        <f t="shared" si="0"/>
        <v>Yes</v>
      </c>
      <c r="I32" s="33">
        <v>56.2</v>
      </c>
      <c r="J32" s="6">
        <v>32</v>
      </c>
      <c r="K32" s="6">
        <v>5</v>
      </c>
      <c r="L32" s="6">
        <v>1203</v>
      </c>
      <c r="M32" s="6">
        <v>24.5</v>
      </c>
      <c r="N32" s="6">
        <v>26.8</v>
      </c>
      <c r="O32" s="6">
        <v>18.899999999999999</v>
      </c>
      <c r="P32" s="6">
        <v>36.5</v>
      </c>
      <c r="Q32" s="6">
        <v>26.2</v>
      </c>
      <c r="R32" s="6">
        <v>43.1</v>
      </c>
      <c r="S32" s="6">
        <v>22.9</v>
      </c>
      <c r="T32" s="6">
        <v>36.299999999999997</v>
      </c>
      <c r="U32" s="6">
        <v>22</v>
      </c>
      <c r="V32" s="6">
        <v>51</v>
      </c>
      <c r="W32" s="6">
        <v>34.5</v>
      </c>
      <c r="X32" s="6">
        <v>34.6</v>
      </c>
      <c r="Y32" s="56">
        <f t="shared" si="9"/>
        <v>34.549999999999997</v>
      </c>
      <c r="Z32" s="6">
        <v>46.5</v>
      </c>
      <c r="AA32" s="6">
        <v>45.9</v>
      </c>
      <c r="AB32" s="56">
        <f t="shared" si="8"/>
        <v>46.2</v>
      </c>
      <c r="AC32" s="6">
        <v>41.5</v>
      </c>
      <c r="AD32" s="6">
        <v>42.4</v>
      </c>
      <c r="AE32" s="56">
        <f t="shared" ref="AE32:AE95" si="10">AVERAGE(AC32,AD32)</f>
        <v>41.95</v>
      </c>
      <c r="AF32" s="14" t="s">
        <v>306</v>
      </c>
      <c r="AG32" s="14" t="s">
        <v>307</v>
      </c>
      <c r="AH32" s="14" t="s">
        <v>308</v>
      </c>
      <c r="AI32" s="14" t="s">
        <v>131</v>
      </c>
      <c r="AJ32" s="14" t="s">
        <v>132</v>
      </c>
      <c r="AK32" s="14" t="s">
        <v>135</v>
      </c>
      <c r="AL32" s="1" t="s">
        <v>309</v>
      </c>
      <c r="AM32" s="11" t="s">
        <v>134</v>
      </c>
      <c r="AN32" s="11" t="s">
        <v>135</v>
      </c>
      <c r="AO32" s="20" t="s">
        <v>310</v>
      </c>
      <c r="AP32" s="1" t="s">
        <v>307</v>
      </c>
      <c r="AQ32" s="1" t="s">
        <v>308</v>
      </c>
      <c r="AR32" s="6">
        <v>5</v>
      </c>
      <c r="AS32" s="6" t="s">
        <v>131</v>
      </c>
      <c r="AT32" s="6" t="s">
        <v>311</v>
      </c>
      <c r="AU32" s="6">
        <v>5</v>
      </c>
      <c r="AV32" s="36"/>
      <c r="AW32" s="36"/>
      <c r="AX32" s="36"/>
      <c r="AY32" s="36"/>
      <c r="AZ32" s="36"/>
      <c r="BA32" s="35"/>
      <c r="BB32" s="24" t="s">
        <v>312</v>
      </c>
      <c r="BC32" s="24" t="str">
        <f t="shared" si="4"/>
        <v>Not Obese</v>
      </c>
      <c r="BD32" s="6"/>
      <c r="BE32" s="1" t="s">
        <v>73</v>
      </c>
    </row>
    <row r="33" spans="1:57" ht="42" customHeight="1">
      <c r="A33" s="29" t="s">
        <v>313</v>
      </c>
      <c r="B33" s="8">
        <v>45486</v>
      </c>
      <c r="C33" s="1" t="s">
        <v>75</v>
      </c>
      <c r="D33" s="6">
        <v>31</v>
      </c>
      <c r="G33" s="6" t="s">
        <v>85</v>
      </c>
      <c r="H33" s="33" t="str">
        <f t="shared" si="0"/>
        <v>No</v>
      </c>
      <c r="I33" s="33">
        <v>48.5</v>
      </c>
      <c r="J33" s="6">
        <v>26.9</v>
      </c>
      <c r="K33" s="6">
        <v>1.5</v>
      </c>
      <c r="L33" s="6">
        <v>1102</v>
      </c>
      <c r="M33" s="6">
        <v>26.1</v>
      </c>
      <c r="N33" s="6">
        <v>30.4</v>
      </c>
      <c r="O33" s="6">
        <v>20.8</v>
      </c>
      <c r="P33" s="6">
        <v>38.1</v>
      </c>
      <c r="Q33" s="6">
        <v>21</v>
      </c>
      <c r="R33" s="6">
        <v>36.9</v>
      </c>
      <c r="S33" s="6">
        <v>17.600000000000001</v>
      </c>
      <c r="T33" s="6">
        <v>29.3</v>
      </c>
      <c r="U33" s="6">
        <v>18.3</v>
      </c>
      <c r="V33" s="6">
        <v>44</v>
      </c>
      <c r="W33" s="6">
        <v>36.799999999999997</v>
      </c>
      <c r="X33" s="6">
        <v>36.200000000000003</v>
      </c>
      <c r="Y33" s="56">
        <f t="shared" si="9"/>
        <v>36.5</v>
      </c>
      <c r="Z33" s="6">
        <v>45</v>
      </c>
      <c r="AA33" s="6">
        <v>45</v>
      </c>
      <c r="AB33" s="56">
        <f t="shared" si="8"/>
        <v>45</v>
      </c>
      <c r="AC33" s="6">
        <v>45</v>
      </c>
      <c r="AD33" s="6">
        <v>44.7</v>
      </c>
      <c r="AE33" s="56">
        <f t="shared" si="10"/>
        <v>44.85</v>
      </c>
      <c r="AF33" s="14" t="s">
        <v>188</v>
      </c>
      <c r="AG33" s="14" t="s">
        <v>314</v>
      </c>
      <c r="AH33" s="14" t="s">
        <v>315</v>
      </c>
      <c r="AI33" s="14" t="s">
        <v>174</v>
      </c>
      <c r="AJ33" s="14" t="s">
        <v>316</v>
      </c>
      <c r="AK33" s="14" t="s">
        <v>193</v>
      </c>
      <c r="AM33" s="11" t="s">
        <v>317</v>
      </c>
      <c r="AN33" s="11" t="s">
        <v>193</v>
      </c>
      <c r="AO33" s="1" t="s">
        <v>318</v>
      </c>
      <c r="AP33" s="1" t="s">
        <v>314</v>
      </c>
      <c r="AQ33" s="1" t="s">
        <v>315</v>
      </c>
      <c r="AR33" s="6">
        <v>7</v>
      </c>
      <c r="AS33" s="6" t="s">
        <v>174</v>
      </c>
      <c r="AT33" s="6" t="s">
        <v>316</v>
      </c>
      <c r="AU33" s="6">
        <v>6</v>
      </c>
      <c r="AV33" s="36"/>
      <c r="AW33" s="36"/>
      <c r="AX33" s="36"/>
      <c r="AY33" s="36"/>
      <c r="AZ33" s="36"/>
      <c r="BA33" s="37"/>
      <c r="BB33" s="24" t="s">
        <v>319</v>
      </c>
      <c r="BC33" s="24" t="str">
        <f t="shared" si="4"/>
        <v>Not Obese</v>
      </c>
      <c r="BD33" s="6"/>
      <c r="BE33" s="1" t="s">
        <v>73</v>
      </c>
    </row>
    <row r="34" spans="1:57" ht="20.100000000000001" customHeight="1">
      <c r="A34" s="29" t="s">
        <v>320</v>
      </c>
      <c r="B34" s="8">
        <v>45488</v>
      </c>
      <c r="C34" s="1" t="s">
        <v>62</v>
      </c>
      <c r="D34" s="137">
        <v>32</v>
      </c>
      <c r="E34" s="137">
        <v>34</v>
      </c>
      <c r="F34" s="137">
        <v>36</v>
      </c>
      <c r="G34" s="6" t="s">
        <v>63</v>
      </c>
      <c r="H34" s="33" t="str">
        <f t="shared" si="0"/>
        <v>Yes</v>
      </c>
      <c r="I34" s="33">
        <v>86.8</v>
      </c>
      <c r="J34" s="6">
        <v>29</v>
      </c>
      <c r="K34" s="6">
        <v>17</v>
      </c>
      <c r="L34" s="6">
        <v>1834</v>
      </c>
      <c r="M34" s="6">
        <v>29.2</v>
      </c>
      <c r="N34" s="6">
        <v>34.5</v>
      </c>
      <c r="O34" s="6">
        <v>21.4</v>
      </c>
      <c r="P34" s="6">
        <v>46.6</v>
      </c>
      <c r="Q34" s="6">
        <v>20.5</v>
      </c>
      <c r="R34" s="6">
        <v>25.6</v>
      </c>
      <c r="S34" s="6">
        <v>18.8</v>
      </c>
      <c r="T34" s="6">
        <v>26.1</v>
      </c>
      <c r="U34" s="6">
        <v>29</v>
      </c>
      <c r="V34" s="6">
        <v>62</v>
      </c>
      <c r="W34" s="6">
        <v>43.4</v>
      </c>
      <c r="X34" s="6">
        <v>42.6</v>
      </c>
      <c r="Y34" s="56">
        <f t="shared" si="9"/>
        <v>43</v>
      </c>
      <c r="Z34" s="6">
        <v>49</v>
      </c>
      <c r="AA34" s="6">
        <v>50</v>
      </c>
      <c r="AB34" s="56">
        <f t="shared" si="8"/>
        <v>49.5</v>
      </c>
      <c r="AC34" s="6">
        <v>48.7</v>
      </c>
      <c r="AD34" s="6">
        <v>49</v>
      </c>
      <c r="AE34" s="56">
        <f t="shared" si="10"/>
        <v>48.85</v>
      </c>
      <c r="AF34" s="14" t="s">
        <v>321</v>
      </c>
      <c r="AG34" s="14" t="s">
        <v>308</v>
      </c>
      <c r="AH34" s="14" t="s">
        <v>322</v>
      </c>
      <c r="AI34" s="14" t="s">
        <v>323</v>
      </c>
      <c r="AJ34" s="14" t="s">
        <v>324</v>
      </c>
      <c r="AM34" s="11" t="s">
        <v>321</v>
      </c>
      <c r="AP34" s="1" t="s">
        <v>308</v>
      </c>
      <c r="AQ34" s="1" t="s">
        <v>322</v>
      </c>
      <c r="AR34" s="6">
        <v>5</v>
      </c>
      <c r="AS34" s="6" t="s">
        <v>323</v>
      </c>
      <c r="AT34" s="6" t="s">
        <v>325</v>
      </c>
      <c r="AU34" s="6">
        <v>5</v>
      </c>
      <c r="AV34" s="36"/>
      <c r="AW34" s="36"/>
      <c r="AX34" s="36"/>
      <c r="AY34" s="36"/>
      <c r="AZ34" s="36"/>
      <c r="BA34" s="35"/>
      <c r="BC34" s="24" t="str">
        <f t="shared" si="4"/>
        <v>Obese</v>
      </c>
      <c r="BD34" s="6"/>
      <c r="BE34" s="1" t="s">
        <v>326</v>
      </c>
    </row>
    <row r="35" spans="1:57" ht="159.94999999999999" customHeight="1">
      <c r="A35" s="29" t="s">
        <v>327</v>
      </c>
      <c r="B35" s="8">
        <v>45488</v>
      </c>
      <c r="C35" s="1" t="s">
        <v>84</v>
      </c>
      <c r="D35" s="6">
        <v>20</v>
      </c>
      <c r="G35" s="6" t="s">
        <v>85</v>
      </c>
      <c r="H35" s="33" t="str">
        <f t="shared" ref="H35:H66" si="11">IF(OR(AND(G35="Male",J35&gt;=25),AND(G35="Female",J35&gt;=32)),"Yes","No")</f>
        <v>No</v>
      </c>
      <c r="I35" s="33">
        <v>58.8</v>
      </c>
      <c r="J35" s="6">
        <v>29.4</v>
      </c>
      <c r="K35" s="6">
        <v>4</v>
      </c>
      <c r="L35" s="6">
        <v>1258</v>
      </c>
      <c r="M35" s="6">
        <v>26.2</v>
      </c>
      <c r="N35" s="6">
        <v>28.3</v>
      </c>
      <c r="O35" s="6">
        <v>20.2</v>
      </c>
      <c r="P35" s="6">
        <v>39</v>
      </c>
      <c r="Q35" s="6">
        <v>24.7</v>
      </c>
      <c r="R35" s="6">
        <v>39.799999999999997</v>
      </c>
      <c r="S35" s="6">
        <v>21</v>
      </c>
      <c r="T35" s="6">
        <v>33.5</v>
      </c>
      <c r="U35" s="6">
        <v>21.6</v>
      </c>
      <c r="V35" s="6">
        <v>49</v>
      </c>
      <c r="W35" s="6">
        <v>41.1</v>
      </c>
      <c r="X35" s="6">
        <v>40.799999999999997</v>
      </c>
      <c r="Y35" s="56">
        <f t="shared" si="9"/>
        <v>40.950000000000003</v>
      </c>
      <c r="Z35" s="6">
        <v>45.1</v>
      </c>
      <c r="AA35" s="6">
        <v>44.5</v>
      </c>
      <c r="AB35" s="56">
        <f t="shared" si="8"/>
        <v>44.8</v>
      </c>
      <c r="AC35" s="6">
        <v>44.2</v>
      </c>
      <c r="AD35" s="6">
        <v>44</v>
      </c>
      <c r="AE35" s="56">
        <f t="shared" si="10"/>
        <v>44.1</v>
      </c>
      <c r="AF35" s="14" t="s">
        <v>317</v>
      </c>
      <c r="AG35" s="14" t="s">
        <v>196</v>
      </c>
      <c r="AH35" s="14" t="s">
        <v>190</v>
      </c>
      <c r="AI35" s="14" t="s">
        <v>198</v>
      </c>
      <c r="AJ35" s="14" t="s">
        <v>328</v>
      </c>
      <c r="AL35" s="20" t="s">
        <v>329</v>
      </c>
      <c r="AM35" s="11" t="s">
        <v>330</v>
      </c>
      <c r="AP35" s="1" t="s">
        <v>196</v>
      </c>
      <c r="AQ35" s="1" t="s">
        <v>197</v>
      </c>
      <c r="AR35" s="6">
        <v>5</v>
      </c>
      <c r="AS35" s="6" t="s">
        <v>198</v>
      </c>
      <c r="AT35" s="6" t="s">
        <v>328</v>
      </c>
      <c r="AU35" s="6">
        <v>6</v>
      </c>
      <c r="AV35" s="36"/>
      <c r="AW35" s="36"/>
      <c r="AX35" s="36"/>
      <c r="AY35" s="36"/>
      <c r="AZ35" s="36"/>
      <c r="BA35" s="35"/>
      <c r="BB35" s="24" t="s">
        <v>331</v>
      </c>
      <c r="BC35" s="24" t="str">
        <f t="shared" si="4"/>
        <v>Not Obese</v>
      </c>
      <c r="BD35" s="6"/>
      <c r="BE35" s="1" t="s">
        <v>332</v>
      </c>
    </row>
    <row r="36" spans="1:57" ht="159.94999999999999" customHeight="1">
      <c r="A36" s="29" t="s">
        <v>333</v>
      </c>
      <c r="B36" s="8">
        <v>45489</v>
      </c>
      <c r="C36" s="1" t="s">
        <v>117</v>
      </c>
      <c r="D36" s="6">
        <v>24</v>
      </c>
      <c r="G36" s="6" t="s">
        <v>85</v>
      </c>
      <c r="H36" s="33" t="str">
        <f t="shared" si="11"/>
        <v>No</v>
      </c>
      <c r="I36" s="33">
        <v>48.7</v>
      </c>
      <c r="J36" s="6">
        <v>26.9</v>
      </c>
      <c r="K36" s="6">
        <v>2</v>
      </c>
      <c r="L36" s="6">
        <v>1105</v>
      </c>
      <c r="M36" s="6">
        <v>26.1</v>
      </c>
      <c r="N36" s="6">
        <v>30.3</v>
      </c>
      <c r="O36" s="6">
        <v>20.8</v>
      </c>
      <c r="P36" s="6">
        <v>38.299999999999997</v>
      </c>
      <c r="Q36" s="6">
        <v>21.5</v>
      </c>
      <c r="R36" s="6">
        <v>36.9</v>
      </c>
      <c r="S36" s="6">
        <v>18</v>
      </c>
      <c r="T36" s="6">
        <v>30</v>
      </c>
      <c r="U36" s="6">
        <v>19</v>
      </c>
      <c r="V36" s="6">
        <v>43</v>
      </c>
      <c r="W36" s="6">
        <v>38.200000000000003</v>
      </c>
      <c r="X36" s="6">
        <v>36.799999999999997</v>
      </c>
      <c r="Y36" s="56">
        <f t="shared" si="9"/>
        <v>37.5</v>
      </c>
      <c r="Z36" s="6">
        <v>44</v>
      </c>
      <c r="AA36" s="6">
        <v>42.7</v>
      </c>
      <c r="AB36" s="56">
        <f t="shared" si="8"/>
        <v>43.35</v>
      </c>
      <c r="AC36" s="6">
        <v>43.3</v>
      </c>
      <c r="AD36" s="6">
        <v>43</v>
      </c>
      <c r="AE36" s="56">
        <f t="shared" si="10"/>
        <v>43.15</v>
      </c>
      <c r="AF36" s="14" t="s">
        <v>334</v>
      </c>
      <c r="AG36" s="14" t="s">
        <v>129</v>
      </c>
      <c r="AH36" s="14" t="s">
        <v>137</v>
      </c>
      <c r="AI36" s="14" t="s">
        <v>138</v>
      </c>
      <c r="AJ36" s="14" t="s">
        <v>132</v>
      </c>
      <c r="AK36" s="14" t="s">
        <v>135</v>
      </c>
      <c r="AL36" s="20" t="s">
        <v>335</v>
      </c>
      <c r="AM36" s="11" t="s">
        <v>128</v>
      </c>
      <c r="AN36" s="11" t="s">
        <v>135</v>
      </c>
      <c r="AP36" s="1" t="s">
        <v>129</v>
      </c>
      <c r="AQ36" s="1" t="s">
        <v>137</v>
      </c>
      <c r="AR36" s="6">
        <v>5</v>
      </c>
      <c r="AS36" s="6" t="s">
        <v>138</v>
      </c>
      <c r="AT36" s="6" t="s">
        <v>132</v>
      </c>
      <c r="AU36" s="6">
        <v>5</v>
      </c>
      <c r="AV36" s="36"/>
      <c r="AW36" s="36"/>
      <c r="AX36" s="36"/>
      <c r="AY36" s="36"/>
      <c r="AZ36" s="36"/>
      <c r="BA36" s="35"/>
      <c r="BC36" s="24" t="str">
        <f t="shared" si="4"/>
        <v>Not Obese</v>
      </c>
      <c r="BE36" s="1" t="s">
        <v>73</v>
      </c>
    </row>
    <row r="37" spans="1:57" ht="39.950000000000003" customHeight="1">
      <c r="A37" s="29" t="s">
        <v>336</v>
      </c>
      <c r="B37" s="8">
        <v>45489</v>
      </c>
      <c r="C37" s="1" t="s">
        <v>62</v>
      </c>
      <c r="D37" s="6">
        <v>32</v>
      </c>
      <c r="G37" s="6" t="s">
        <v>85</v>
      </c>
      <c r="H37" s="33" t="str">
        <f t="shared" si="11"/>
        <v>No</v>
      </c>
      <c r="I37" s="33">
        <v>56.3</v>
      </c>
      <c r="J37" s="6">
        <v>30.9</v>
      </c>
      <c r="K37" s="6">
        <v>7</v>
      </c>
      <c r="L37" s="6">
        <v>1209</v>
      </c>
      <c r="M37" s="6">
        <v>25</v>
      </c>
      <c r="N37" s="6">
        <v>27.3</v>
      </c>
      <c r="O37" s="6">
        <v>18.8</v>
      </c>
      <c r="P37" s="6">
        <v>38.5</v>
      </c>
      <c r="Q37" s="6">
        <v>27.4</v>
      </c>
      <c r="R37" s="6">
        <v>40.700000000000003</v>
      </c>
      <c r="S37" s="6">
        <v>23.3</v>
      </c>
      <c r="T37" s="6">
        <v>35</v>
      </c>
      <c r="U37" s="6">
        <v>24.4</v>
      </c>
      <c r="V37" s="6">
        <v>56</v>
      </c>
      <c r="W37" s="6">
        <v>38.9</v>
      </c>
      <c r="X37" s="6">
        <v>39.799999999999997</v>
      </c>
      <c r="Y37" s="56">
        <f t="shared" si="9"/>
        <v>39.349999999999994</v>
      </c>
      <c r="Z37" s="6">
        <v>43.4</v>
      </c>
      <c r="AA37" s="6">
        <v>43.2</v>
      </c>
      <c r="AB37" s="56">
        <f t="shared" si="8"/>
        <v>43.3</v>
      </c>
      <c r="AC37" s="6">
        <v>39.1</v>
      </c>
      <c r="AD37" s="6">
        <v>39.1</v>
      </c>
      <c r="AE37" s="56">
        <f t="shared" si="10"/>
        <v>39.1</v>
      </c>
      <c r="AF37" s="14" t="s">
        <v>337</v>
      </c>
      <c r="AG37" s="14" t="s">
        <v>322</v>
      </c>
      <c r="AH37" s="14" t="s">
        <v>338</v>
      </c>
      <c r="AI37" s="14" t="s">
        <v>325</v>
      </c>
      <c r="AJ37" s="14" t="s">
        <v>203</v>
      </c>
      <c r="AK37" s="14" t="s">
        <v>339</v>
      </c>
      <c r="AM37" s="11" t="s">
        <v>337</v>
      </c>
      <c r="AN37" s="11" t="s">
        <v>340</v>
      </c>
      <c r="AP37" s="1" t="s">
        <v>322</v>
      </c>
      <c r="AQ37" s="1" t="s">
        <v>338</v>
      </c>
      <c r="AR37" s="6">
        <v>5</v>
      </c>
      <c r="AS37" s="6" t="s">
        <v>325</v>
      </c>
      <c r="AT37" s="6" t="s">
        <v>203</v>
      </c>
      <c r="AU37" s="6">
        <v>5</v>
      </c>
      <c r="AV37" s="36"/>
      <c r="AW37" s="36"/>
      <c r="AX37" s="36"/>
      <c r="AY37" s="36"/>
      <c r="AZ37" s="36"/>
      <c r="BA37" s="35"/>
      <c r="BB37" s="24" t="s">
        <v>341</v>
      </c>
      <c r="BC37" s="24" t="str">
        <f t="shared" si="4"/>
        <v>Not Obese</v>
      </c>
      <c r="BE37" s="1" t="s">
        <v>73</v>
      </c>
    </row>
    <row r="38" spans="1:57" ht="99.95" customHeight="1">
      <c r="A38" s="29" t="s">
        <v>342</v>
      </c>
      <c r="B38" s="8">
        <v>45489</v>
      </c>
      <c r="C38" s="1" t="s">
        <v>84</v>
      </c>
      <c r="D38" s="6">
        <v>16</v>
      </c>
      <c r="G38" s="6" t="s">
        <v>63</v>
      </c>
      <c r="H38" s="33" t="str">
        <f t="shared" si="11"/>
        <v>No</v>
      </c>
      <c r="I38" s="33">
        <v>77.400000000000006</v>
      </c>
      <c r="J38" s="6">
        <v>24.4</v>
      </c>
      <c r="K38" s="6">
        <v>9.5</v>
      </c>
      <c r="L38" s="6">
        <v>1718</v>
      </c>
      <c r="M38" s="6">
        <v>31.9</v>
      </c>
      <c r="N38" s="6">
        <v>36.799999999999997</v>
      </c>
      <c r="O38" s="6">
        <v>24.7</v>
      </c>
      <c r="P38" s="6">
        <v>49.2</v>
      </c>
      <c r="Q38" s="6">
        <v>16.899999999999999</v>
      </c>
      <c r="R38" s="6">
        <v>23.1</v>
      </c>
      <c r="S38" s="6">
        <v>15.1</v>
      </c>
      <c r="T38" s="6">
        <v>23</v>
      </c>
      <c r="U38" s="6">
        <v>24.4</v>
      </c>
      <c r="V38" s="6">
        <v>46</v>
      </c>
      <c r="W38" s="6">
        <v>40.799999999999997</v>
      </c>
      <c r="X38" s="6">
        <v>39.299999999999997</v>
      </c>
      <c r="Y38" s="56">
        <f t="shared" si="9"/>
        <v>40.049999999999997</v>
      </c>
      <c r="Z38" s="6">
        <v>50.6</v>
      </c>
      <c r="AA38" s="6">
        <v>51.7</v>
      </c>
      <c r="AB38" s="56">
        <f t="shared" si="8"/>
        <v>51.150000000000006</v>
      </c>
      <c r="AC38" s="6">
        <v>50</v>
      </c>
      <c r="AD38" s="6">
        <v>50.1</v>
      </c>
      <c r="AE38" s="56">
        <f t="shared" si="10"/>
        <v>50.05</v>
      </c>
      <c r="AF38" s="14" t="s">
        <v>206</v>
      </c>
      <c r="AG38" s="14" t="s">
        <v>343</v>
      </c>
      <c r="AH38" s="14" t="s">
        <v>87</v>
      </c>
      <c r="AI38" s="14" t="s">
        <v>325</v>
      </c>
      <c r="AJ38" s="14" t="s">
        <v>203</v>
      </c>
      <c r="AK38" s="14" t="s">
        <v>340</v>
      </c>
      <c r="AL38" s="20" t="s">
        <v>344</v>
      </c>
      <c r="AM38" s="11" t="s">
        <v>206</v>
      </c>
      <c r="AN38" s="11" t="s">
        <v>345</v>
      </c>
      <c r="AP38" s="1" t="s">
        <v>343</v>
      </c>
      <c r="AQ38" s="1" t="s">
        <v>87</v>
      </c>
      <c r="AR38" s="6">
        <v>5</v>
      </c>
      <c r="AS38" s="6" t="s">
        <v>325</v>
      </c>
      <c r="AT38" s="6" t="s">
        <v>203</v>
      </c>
      <c r="AU38" s="6">
        <v>5</v>
      </c>
      <c r="AV38" s="36"/>
      <c r="AW38" s="36"/>
      <c r="AX38" s="36"/>
      <c r="AY38" s="36"/>
      <c r="AZ38" s="36"/>
      <c r="BA38" s="35"/>
      <c r="BB38" s="24" t="s">
        <v>346</v>
      </c>
      <c r="BC38" s="24" t="str">
        <f t="shared" si="4"/>
        <v>Not Obese</v>
      </c>
      <c r="BE38" s="1" t="s">
        <v>73</v>
      </c>
    </row>
    <row r="39" spans="1:57" ht="99.95" customHeight="1">
      <c r="A39" s="29" t="s">
        <v>347</v>
      </c>
      <c r="B39" s="8">
        <v>45489</v>
      </c>
      <c r="C39" s="1" t="s">
        <v>75</v>
      </c>
      <c r="D39" s="6">
        <v>30</v>
      </c>
      <c r="G39" s="6" t="s">
        <v>85</v>
      </c>
      <c r="H39" s="33" t="str">
        <f t="shared" si="11"/>
        <v>No</v>
      </c>
      <c r="I39" s="33">
        <v>57.2</v>
      </c>
      <c r="J39" s="6">
        <v>29.2</v>
      </c>
      <c r="K39" s="6">
        <v>4.5</v>
      </c>
      <c r="L39" s="6">
        <v>1233</v>
      </c>
      <c r="M39" s="6">
        <v>26.1</v>
      </c>
      <c r="N39" s="6">
        <v>28.5</v>
      </c>
      <c r="O39" s="6">
        <v>20.2</v>
      </c>
      <c r="P39" s="6">
        <v>39.4</v>
      </c>
      <c r="Q39" s="6">
        <v>25.3</v>
      </c>
      <c r="R39" s="6">
        <v>39.4</v>
      </c>
      <c r="S39" s="6">
        <v>21.3</v>
      </c>
      <c r="T39" s="6">
        <v>33.799999999999997</v>
      </c>
      <c r="U39" s="6">
        <v>22.6</v>
      </c>
      <c r="V39" s="6">
        <v>49</v>
      </c>
      <c r="W39" s="6">
        <v>38.799999999999997</v>
      </c>
      <c r="X39" s="6">
        <v>37.799999999999997</v>
      </c>
      <c r="Y39" s="56">
        <f t="shared" si="9"/>
        <v>38.299999999999997</v>
      </c>
      <c r="Z39" s="6">
        <v>44.4</v>
      </c>
      <c r="AA39" s="6">
        <v>44.9</v>
      </c>
      <c r="AB39" s="56">
        <f t="shared" si="8"/>
        <v>44.65</v>
      </c>
      <c r="AC39" s="6">
        <v>41.8</v>
      </c>
      <c r="AD39" s="6">
        <v>42.3</v>
      </c>
      <c r="AE39" s="56">
        <f t="shared" si="10"/>
        <v>42.05</v>
      </c>
      <c r="AF39" s="14" t="s">
        <v>330</v>
      </c>
      <c r="AG39" s="14" t="s">
        <v>348</v>
      </c>
      <c r="AH39" s="14" t="s">
        <v>349</v>
      </c>
      <c r="AI39" s="14" t="s">
        <v>350</v>
      </c>
      <c r="AJ39" s="14" t="s">
        <v>351</v>
      </c>
      <c r="AK39" s="14" t="s">
        <v>352</v>
      </c>
      <c r="AL39" s="20" t="s">
        <v>353</v>
      </c>
      <c r="AM39" s="11" t="s">
        <v>354</v>
      </c>
      <c r="AN39" s="11" t="s">
        <v>193</v>
      </c>
      <c r="AP39" s="1" t="s">
        <v>348</v>
      </c>
      <c r="AQ39" s="1" t="s">
        <v>349</v>
      </c>
      <c r="AR39" s="6">
        <v>6</v>
      </c>
      <c r="AS39" s="6" t="s">
        <v>355</v>
      </c>
      <c r="AT39" s="6" t="s">
        <v>351</v>
      </c>
      <c r="AU39" s="6">
        <v>6</v>
      </c>
      <c r="AV39" s="36"/>
      <c r="AW39" s="36"/>
      <c r="AX39" s="36"/>
      <c r="AY39" s="36"/>
      <c r="AZ39" s="36"/>
      <c r="BA39" s="35"/>
      <c r="BB39" s="24" t="s">
        <v>356</v>
      </c>
      <c r="BC39" s="24" t="str">
        <f t="shared" si="4"/>
        <v>Not Obese</v>
      </c>
      <c r="BE39" s="1" t="s">
        <v>73</v>
      </c>
    </row>
    <row r="40" spans="1:57" ht="140.1" customHeight="1">
      <c r="A40" s="29" t="s">
        <v>357</v>
      </c>
      <c r="B40" s="8">
        <v>45510</v>
      </c>
      <c r="C40" s="1" t="s">
        <v>117</v>
      </c>
      <c r="D40" s="6">
        <v>25</v>
      </c>
      <c r="G40" s="6" t="s">
        <v>85</v>
      </c>
      <c r="H40" s="33" t="str">
        <f t="shared" si="11"/>
        <v>Yes</v>
      </c>
      <c r="I40" s="33">
        <v>54</v>
      </c>
      <c r="J40" s="6">
        <v>34.9</v>
      </c>
      <c r="K40" s="6">
        <v>7</v>
      </c>
      <c r="L40" s="6">
        <v>1154</v>
      </c>
      <c r="M40" s="6">
        <v>22.4</v>
      </c>
      <c r="N40" s="6">
        <v>24.9</v>
      </c>
      <c r="O40" s="6">
        <v>17</v>
      </c>
      <c r="P40" s="6">
        <v>35.1</v>
      </c>
      <c r="Q40" s="6">
        <v>29.1</v>
      </c>
      <c r="R40" s="6">
        <v>46.3</v>
      </c>
      <c r="S40" s="6">
        <v>25.9</v>
      </c>
      <c r="T40" s="6">
        <v>39.5</v>
      </c>
      <c r="U40" s="6">
        <v>24</v>
      </c>
      <c r="V40" s="6">
        <v>56</v>
      </c>
      <c r="W40" s="6">
        <v>37</v>
      </c>
      <c r="X40" s="6">
        <v>37.9</v>
      </c>
      <c r="Y40" s="56">
        <f t="shared" si="9"/>
        <v>37.450000000000003</v>
      </c>
      <c r="Z40" s="6">
        <v>44.6</v>
      </c>
      <c r="AA40" s="6">
        <v>44.7</v>
      </c>
      <c r="AB40" s="56">
        <f t="shared" si="8"/>
        <v>44.650000000000006</v>
      </c>
      <c r="AC40" s="6">
        <v>43.6</v>
      </c>
      <c r="AD40" s="6">
        <v>43.6</v>
      </c>
      <c r="AE40" s="56">
        <f t="shared" si="10"/>
        <v>43.6</v>
      </c>
      <c r="AF40" s="14" t="s">
        <v>86</v>
      </c>
      <c r="AG40" s="14" t="s">
        <v>222</v>
      </c>
      <c r="AH40" s="14" t="s">
        <v>338</v>
      </c>
      <c r="AI40" s="14" t="s">
        <v>325</v>
      </c>
      <c r="AJ40" s="14" t="s">
        <v>203</v>
      </c>
      <c r="AK40" s="14" t="s">
        <v>340</v>
      </c>
      <c r="AL40" s="20" t="s">
        <v>358</v>
      </c>
      <c r="AM40" s="11" t="s">
        <v>337</v>
      </c>
      <c r="AN40" s="11" t="s">
        <v>340</v>
      </c>
      <c r="AP40" s="1" t="s">
        <v>359</v>
      </c>
      <c r="AQ40" s="1" t="s">
        <v>360</v>
      </c>
      <c r="AR40" s="6">
        <v>5</v>
      </c>
      <c r="AS40" s="6" t="s">
        <v>325</v>
      </c>
      <c r="AT40" s="6" t="s">
        <v>203</v>
      </c>
      <c r="AU40" s="6">
        <v>5</v>
      </c>
      <c r="AV40" s="36"/>
      <c r="AW40" s="36"/>
      <c r="AX40" s="36"/>
      <c r="AY40" s="36"/>
      <c r="AZ40" s="36"/>
      <c r="BA40" s="46"/>
      <c r="BB40" s="24" t="s">
        <v>361</v>
      </c>
      <c r="BC40" s="24" t="str">
        <f t="shared" si="4"/>
        <v>Not Obese</v>
      </c>
      <c r="BE40" s="1" t="s">
        <v>73</v>
      </c>
    </row>
    <row r="41" spans="1:57" ht="80.099999999999994" customHeight="1">
      <c r="A41" s="29" t="s">
        <v>362</v>
      </c>
      <c r="B41" s="8">
        <v>45492</v>
      </c>
      <c r="C41" s="1" t="s">
        <v>62</v>
      </c>
      <c r="D41" s="6">
        <v>18</v>
      </c>
      <c r="G41" s="6" t="s">
        <v>85</v>
      </c>
      <c r="H41" s="33" t="str">
        <f t="shared" si="11"/>
        <v>Yes</v>
      </c>
      <c r="I41" s="33">
        <v>48.8</v>
      </c>
      <c r="J41" s="6">
        <v>35.700000000000003</v>
      </c>
      <c r="K41" s="6">
        <v>6</v>
      </c>
      <c r="L41" s="6">
        <v>1070</v>
      </c>
      <c r="M41" s="6">
        <v>21.4</v>
      </c>
      <c r="N41" s="6">
        <v>24.8</v>
      </c>
      <c r="O41" s="6">
        <v>16.100000000000001</v>
      </c>
      <c r="P41" s="6">
        <v>33.4</v>
      </c>
      <c r="Q41" s="6">
        <v>28.3</v>
      </c>
      <c r="R41" s="6">
        <v>46.7</v>
      </c>
      <c r="S41" s="6">
        <v>25.6</v>
      </c>
      <c r="T41" s="6">
        <v>38.1</v>
      </c>
      <c r="U41" s="6">
        <v>22.3</v>
      </c>
      <c r="V41" s="6">
        <v>58</v>
      </c>
      <c r="W41" s="6">
        <v>37.5</v>
      </c>
      <c r="X41" s="6">
        <v>37</v>
      </c>
      <c r="Y41" s="56">
        <f t="shared" si="9"/>
        <v>37.25</v>
      </c>
      <c r="Z41" s="6">
        <v>41.9</v>
      </c>
      <c r="AA41" s="6">
        <v>41.7</v>
      </c>
      <c r="AB41" s="56">
        <f t="shared" si="8"/>
        <v>41.8</v>
      </c>
      <c r="AC41" s="6">
        <v>38.9</v>
      </c>
      <c r="AD41" s="6">
        <v>38.200000000000003</v>
      </c>
      <c r="AE41" s="56">
        <f t="shared" si="10"/>
        <v>38.549999999999997</v>
      </c>
      <c r="AF41" s="14" t="s">
        <v>363</v>
      </c>
      <c r="AG41" s="14" t="s">
        <v>130</v>
      </c>
      <c r="AH41" s="14" t="s">
        <v>359</v>
      </c>
      <c r="AI41" s="14" t="s">
        <v>364</v>
      </c>
      <c r="AJ41" s="14" t="s">
        <v>365</v>
      </c>
      <c r="AK41" s="14" t="s">
        <v>225</v>
      </c>
      <c r="AL41" s="20" t="s">
        <v>366</v>
      </c>
      <c r="AM41" s="11" t="s">
        <v>321</v>
      </c>
      <c r="AN41" s="11" t="s">
        <v>225</v>
      </c>
      <c r="AP41" s="1" t="s">
        <v>130</v>
      </c>
      <c r="AQ41" s="1" t="s">
        <v>359</v>
      </c>
      <c r="AR41" s="6">
        <v>3</v>
      </c>
      <c r="AS41" s="6" t="s">
        <v>364</v>
      </c>
      <c r="AT41" s="6" t="s">
        <v>365</v>
      </c>
      <c r="AU41" s="6">
        <v>5</v>
      </c>
      <c r="AV41" s="36"/>
      <c r="AW41" s="36"/>
      <c r="AX41" s="36"/>
      <c r="AY41" s="36"/>
      <c r="AZ41" s="36"/>
      <c r="BB41" s="24" t="s">
        <v>367</v>
      </c>
      <c r="BC41" s="24" t="str">
        <f t="shared" si="4"/>
        <v>Not Obese</v>
      </c>
      <c r="BE41" s="1" t="s">
        <v>368</v>
      </c>
    </row>
    <row r="42" spans="1:57" ht="180" customHeight="1">
      <c r="A42" s="29" t="s">
        <v>369</v>
      </c>
      <c r="B42" s="8">
        <v>45492</v>
      </c>
      <c r="C42" s="1" t="s">
        <v>84</v>
      </c>
      <c r="D42" s="6">
        <v>19</v>
      </c>
      <c r="G42" s="6" t="s">
        <v>85</v>
      </c>
      <c r="H42" s="33" t="str">
        <f t="shared" si="11"/>
        <v>Yes</v>
      </c>
      <c r="I42" s="33">
        <v>63.1</v>
      </c>
      <c r="J42" s="6">
        <v>33.4</v>
      </c>
      <c r="K42" s="6">
        <v>6.5</v>
      </c>
      <c r="L42" s="6">
        <v>1305</v>
      </c>
      <c r="M42" s="6">
        <v>24.4</v>
      </c>
      <c r="N42" s="6">
        <v>25.2</v>
      </c>
      <c r="O42" s="6">
        <v>18.2</v>
      </c>
      <c r="P42" s="6">
        <v>37.299999999999997</v>
      </c>
      <c r="Q42" s="6">
        <v>28.3</v>
      </c>
      <c r="R42" s="6">
        <v>44.4</v>
      </c>
      <c r="S42" s="6">
        <v>24.8</v>
      </c>
      <c r="T42" s="6">
        <v>37.9</v>
      </c>
      <c r="U42" s="6">
        <v>23.7</v>
      </c>
      <c r="V42" s="6">
        <v>58</v>
      </c>
      <c r="W42" s="6">
        <v>40.200000000000003</v>
      </c>
      <c r="X42" s="6">
        <v>40.200000000000003</v>
      </c>
      <c r="Y42" s="56">
        <f t="shared" si="9"/>
        <v>40.200000000000003</v>
      </c>
      <c r="Z42" s="6">
        <v>45.8</v>
      </c>
      <c r="AA42" s="6">
        <v>45.7</v>
      </c>
      <c r="AB42" s="56">
        <f t="shared" si="8"/>
        <v>45.75</v>
      </c>
      <c r="AC42" s="6">
        <v>44.6</v>
      </c>
      <c r="AD42" s="6">
        <v>45.1</v>
      </c>
      <c r="AE42" s="56">
        <f t="shared" si="10"/>
        <v>44.85</v>
      </c>
      <c r="AF42" s="14" t="s">
        <v>170</v>
      </c>
      <c r="AG42" s="14" t="s">
        <v>171</v>
      </c>
      <c r="AH42" s="14" t="s">
        <v>370</v>
      </c>
      <c r="AI42" s="14" t="s">
        <v>371</v>
      </c>
      <c r="AJ42" s="14" t="s">
        <v>355</v>
      </c>
      <c r="AK42" s="14" t="s">
        <v>372</v>
      </c>
      <c r="AL42" s="20" t="s">
        <v>373</v>
      </c>
      <c r="AM42" s="11" t="s">
        <v>170</v>
      </c>
      <c r="AN42" s="11" t="s">
        <v>374</v>
      </c>
      <c r="AP42" s="1" t="s">
        <v>171</v>
      </c>
      <c r="AQ42" s="1" t="s">
        <v>348</v>
      </c>
      <c r="AR42" s="6">
        <v>5</v>
      </c>
      <c r="AS42" s="6" t="s">
        <v>375</v>
      </c>
      <c r="AT42" s="6" t="s">
        <v>355</v>
      </c>
      <c r="AU42" s="6">
        <v>5</v>
      </c>
      <c r="AV42" s="36"/>
      <c r="AW42" s="36"/>
      <c r="AX42" s="36"/>
      <c r="AY42" s="36"/>
      <c r="AZ42" s="36"/>
      <c r="BC42" s="24" t="str">
        <f t="shared" si="4"/>
        <v>Not Obese</v>
      </c>
      <c r="BE42" s="1" t="s">
        <v>376</v>
      </c>
    </row>
    <row r="43" spans="1:57" ht="99.95" customHeight="1">
      <c r="A43" s="29" t="s">
        <v>377</v>
      </c>
      <c r="B43" s="8">
        <v>45492</v>
      </c>
      <c r="C43" s="1" t="s">
        <v>75</v>
      </c>
      <c r="D43" s="6">
        <v>17</v>
      </c>
      <c r="G43" s="6" t="s">
        <v>63</v>
      </c>
      <c r="H43" s="33" t="str">
        <f t="shared" si="11"/>
        <v>Yes</v>
      </c>
      <c r="I43" s="33">
        <v>74.5</v>
      </c>
      <c r="J43" s="6">
        <v>25.2</v>
      </c>
      <c r="K43" s="6">
        <v>11</v>
      </c>
      <c r="L43" s="6">
        <v>1660</v>
      </c>
      <c r="M43" s="6">
        <v>30.5</v>
      </c>
      <c r="N43" s="6">
        <v>36.1</v>
      </c>
      <c r="O43" s="6">
        <v>23.5</v>
      </c>
      <c r="P43" s="6">
        <v>47.9</v>
      </c>
      <c r="Q43" s="6">
        <v>17.5</v>
      </c>
      <c r="R43" s="6">
        <v>22.9</v>
      </c>
      <c r="S43" s="6">
        <v>15.7</v>
      </c>
      <c r="T43" s="6">
        <v>23.1</v>
      </c>
      <c r="U43" s="6">
        <v>24.9</v>
      </c>
      <c r="V43" s="6">
        <v>52</v>
      </c>
      <c r="W43" s="6">
        <v>39.299999999999997</v>
      </c>
      <c r="X43" s="6">
        <v>39.299999999999997</v>
      </c>
      <c r="Y43" s="56">
        <f t="shared" si="9"/>
        <v>39.299999999999997</v>
      </c>
      <c r="Z43" s="6">
        <v>47.9</v>
      </c>
      <c r="AA43" s="6">
        <v>49.1</v>
      </c>
      <c r="AB43" s="56">
        <f t="shared" si="8"/>
        <v>48.5</v>
      </c>
      <c r="AC43" s="6">
        <v>46.9</v>
      </c>
      <c r="AD43" s="6">
        <v>45.1</v>
      </c>
      <c r="AE43" s="56">
        <f t="shared" si="10"/>
        <v>46</v>
      </c>
      <c r="AF43" s="14" t="s">
        <v>378</v>
      </c>
      <c r="AG43" s="14" t="s">
        <v>379</v>
      </c>
      <c r="AH43" s="14" t="s">
        <v>380</v>
      </c>
      <c r="AI43" s="14" t="s">
        <v>381</v>
      </c>
      <c r="AJ43" s="14" t="s">
        <v>375</v>
      </c>
      <c r="AK43" s="14" t="s">
        <v>382</v>
      </c>
      <c r="AL43" s="1" t="s">
        <v>383</v>
      </c>
      <c r="AM43" s="11" t="s">
        <v>384</v>
      </c>
      <c r="AN43" s="11" t="s">
        <v>382</v>
      </c>
      <c r="AP43" s="1" t="s">
        <v>385</v>
      </c>
      <c r="AQ43" s="1" t="s">
        <v>386</v>
      </c>
      <c r="AR43" s="6">
        <v>5</v>
      </c>
      <c r="AS43" s="6" t="s">
        <v>387</v>
      </c>
      <c r="AT43" s="6" t="s">
        <v>375</v>
      </c>
      <c r="AU43" s="6">
        <v>5</v>
      </c>
      <c r="AV43" s="36"/>
      <c r="AW43" s="36"/>
      <c r="AX43" s="36"/>
      <c r="AY43" s="36"/>
      <c r="AZ43" s="36"/>
      <c r="BB43" s="24" t="s">
        <v>388</v>
      </c>
      <c r="BC43" s="24" t="str">
        <f t="shared" si="4"/>
        <v>Not Obese</v>
      </c>
      <c r="BE43" s="1" t="s">
        <v>389</v>
      </c>
    </row>
    <row r="44" spans="1:57" ht="60" customHeight="1">
      <c r="A44" s="29" t="s">
        <v>390</v>
      </c>
      <c r="B44" s="8">
        <v>45493</v>
      </c>
      <c r="C44" s="1" t="s">
        <v>117</v>
      </c>
      <c r="D44" s="6">
        <v>21</v>
      </c>
      <c r="G44" s="6" t="s">
        <v>85</v>
      </c>
      <c r="H44" s="33" t="str">
        <f t="shared" si="11"/>
        <v>No</v>
      </c>
      <c r="I44" s="33">
        <v>56.2</v>
      </c>
      <c r="J44" s="6">
        <v>31.1</v>
      </c>
      <c r="K44" s="6">
        <v>5</v>
      </c>
      <c r="L44" s="6">
        <v>1207</v>
      </c>
      <c r="M44" s="6">
        <v>24.9</v>
      </c>
      <c r="N44" s="6">
        <v>27.2</v>
      </c>
      <c r="O44" s="6">
        <v>19.2</v>
      </c>
      <c r="P44" s="6">
        <v>37.4</v>
      </c>
      <c r="Q44" s="6">
        <v>26.2</v>
      </c>
      <c r="R44" s="6">
        <v>42</v>
      </c>
      <c r="S44" s="6">
        <v>22.6</v>
      </c>
      <c r="T44" s="6">
        <v>35.799999999999997</v>
      </c>
      <c r="U44" s="6">
        <v>22.5</v>
      </c>
      <c r="V44" s="6">
        <v>50</v>
      </c>
      <c r="W44" s="6">
        <v>35.200000000000003</v>
      </c>
      <c r="X44" s="6">
        <v>35.799999999999997</v>
      </c>
      <c r="Y44" s="56">
        <f t="shared" si="9"/>
        <v>35.5</v>
      </c>
      <c r="Z44" s="6">
        <v>44.5</v>
      </c>
      <c r="AA44" s="6">
        <v>44.5</v>
      </c>
      <c r="AB44" s="56">
        <f t="shared" si="8"/>
        <v>44.5</v>
      </c>
      <c r="AC44" s="6">
        <v>43.8</v>
      </c>
      <c r="AD44" s="6">
        <v>41.3</v>
      </c>
      <c r="AE44" s="56">
        <f t="shared" si="10"/>
        <v>42.55</v>
      </c>
      <c r="AF44" s="14" t="s">
        <v>391</v>
      </c>
      <c r="AG44" s="14" t="s">
        <v>314</v>
      </c>
      <c r="AH44" s="14" t="s">
        <v>348</v>
      </c>
      <c r="AI44" s="14" t="s">
        <v>371</v>
      </c>
      <c r="AJ44" s="14" t="s">
        <v>350</v>
      </c>
      <c r="AK44" s="14" t="s">
        <v>392</v>
      </c>
      <c r="AL44" s="20" t="s">
        <v>393</v>
      </c>
      <c r="AM44" s="11" t="s">
        <v>188</v>
      </c>
      <c r="AN44" s="11" t="s">
        <v>392</v>
      </c>
      <c r="AP44" s="1" t="s">
        <v>314</v>
      </c>
      <c r="AQ44" s="1" t="s">
        <v>348</v>
      </c>
      <c r="AR44" s="6">
        <v>3</v>
      </c>
      <c r="AS44" s="6" t="s">
        <v>371</v>
      </c>
      <c r="AT44" s="6" t="s">
        <v>350</v>
      </c>
      <c r="AU44" s="6">
        <v>5</v>
      </c>
      <c r="AV44" s="36"/>
      <c r="AW44" s="36"/>
      <c r="AX44" s="36"/>
      <c r="AY44" s="36"/>
      <c r="AZ44" s="36"/>
      <c r="BB44" s="24" t="s">
        <v>394</v>
      </c>
      <c r="BC44" s="24" t="str">
        <f t="shared" si="4"/>
        <v>Not Obese</v>
      </c>
      <c r="BE44" s="1" t="s">
        <v>73</v>
      </c>
    </row>
    <row r="45" spans="1:57" ht="20.100000000000001" customHeight="1">
      <c r="A45" s="29" t="s">
        <v>395</v>
      </c>
      <c r="B45" s="8">
        <v>45493</v>
      </c>
      <c r="C45" s="1" t="s">
        <v>62</v>
      </c>
      <c r="D45" s="6">
        <v>25</v>
      </c>
      <c r="G45" s="6" t="s">
        <v>85</v>
      </c>
      <c r="H45" s="33" t="str">
        <f t="shared" si="11"/>
        <v>Yes</v>
      </c>
      <c r="I45" s="33">
        <v>71.599999999999994</v>
      </c>
      <c r="J45" s="6">
        <v>34.5</v>
      </c>
      <c r="K45" s="6">
        <v>9.5</v>
      </c>
      <c r="L45" s="6">
        <v>1434</v>
      </c>
      <c r="M45" s="6">
        <v>25</v>
      </c>
      <c r="N45" s="6">
        <v>24</v>
      </c>
      <c r="O45" s="6">
        <v>18</v>
      </c>
      <c r="P45" s="6">
        <v>39</v>
      </c>
      <c r="Q45" s="6">
        <v>31.9</v>
      </c>
      <c r="R45" s="6">
        <v>45.1</v>
      </c>
      <c r="S45" s="6">
        <v>27.5</v>
      </c>
      <c r="T45" s="6">
        <v>40.5</v>
      </c>
      <c r="U45" s="6">
        <v>28</v>
      </c>
      <c r="V45" s="6">
        <v>60</v>
      </c>
      <c r="W45" s="6">
        <v>43.5</v>
      </c>
      <c r="X45" s="6">
        <v>43.4</v>
      </c>
      <c r="Y45" s="56">
        <f t="shared" si="9"/>
        <v>43.45</v>
      </c>
      <c r="Z45" s="6">
        <v>50</v>
      </c>
      <c r="AA45" s="6">
        <v>49.2</v>
      </c>
      <c r="AB45" s="56">
        <f t="shared" si="8"/>
        <v>49.6</v>
      </c>
      <c r="AC45" s="6">
        <v>43.4</v>
      </c>
      <c r="AD45" s="6">
        <v>42.9</v>
      </c>
      <c r="AE45" s="56">
        <f t="shared" si="10"/>
        <v>43.15</v>
      </c>
      <c r="AF45" s="14" t="s">
        <v>396</v>
      </c>
      <c r="AG45" s="14" t="s">
        <v>315</v>
      </c>
      <c r="AH45" s="14" t="s">
        <v>397</v>
      </c>
      <c r="AI45" s="14" t="s">
        <v>398</v>
      </c>
      <c r="AJ45" s="14" t="s">
        <v>192</v>
      </c>
      <c r="AK45" s="14" t="s">
        <v>193</v>
      </c>
      <c r="AL45" s="1" t="s">
        <v>399</v>
      </c>
      <c r="AM45" s="11" t="s">
        <v>396</v>
      </c>
      <c r="AN45" s="11" t="s">
        <v>194</v>
      </c>
      <c r="AP45" s="1" t="s">
        <v>315</v>
      </c>
      <c r="AQ45" s="1" t="s">
        <v>397</v>
      </c>
      <c r="AR45" s="6">
        <v>5</v>
      </c>
      <c r="AS45" s="6" t="s">
        <v>398</v>
      </c>
      <c r="AT45" s="6" t="s">
        <v>328</v>
      </c>
      <c r="AU45" s="6">
        <v>5</v>
      </c>
      <c r="AV45" s="36"/>
      <c r="AW45" s="36"/>
      <c r="AX45" s="36"/>
      <c r="AY45" s="36"/>
      <c r="AZ45" s="36"/>
      <c r="BC45" s="24" t="str">
        <f t="shared" si="4"/>
        <v>Obese</v>
      </c>
      <c r="BE45" s="1" t="s">
        <v>73</v>
      </c>
    </row>
    <row r="46" spans="1:57" ht="180" customHeight="1">
      <c r="A46" s="29" t="s">
        <v>400</v>
      </c>
      <c r="B46" s="8">
        <v>45493</v>
      </c>
      <c r="C46" s="1" t="s">
        <v>84</v>
      </c>
      <c r="D46" s="6">
        <v>27</v>
      </c>
      <c r="G46" s="6" t="s">
        <v>85</v>
      </c>
      <c r="H46" s="33" t="str">
        <f t="shared" si="11"/>
        <v>Yes</v>
      </c>
      <c r="I46" s="33">
        <v>62.3</v>
      </c>
      <c r="J46" s="6">
        <v>36.1</v>
      </c>
      <c r="K46" s="6">
        <v>9</v>
      </c>
      <c r="L46" s="6">
        <v>1277</v>
      </c>
      <c r="M46" s="6">
        <v>22.8</v>
      </c>
      <c r="N46" s="6">
        <v>23.5</v>
      </c>
      <c r="O46" s="6">
        <v>16.399999999999999</v>
      </c>
      <c r="P46" s="6">
        <v>36.200000000000003</v>
      </c>
      <c r="Q46" s="6">
        <v>30.9</v>
      </c>
      <c r="R46" s="6">
        <v>46.6</v>
      </c>
      <c r="S46" s="6">
        <v>27.4</v>
      </c>
      <c r="T46" s="6">
        <v>39.6</v>
      </c>
      <c r="U46" s="6">
        <v>25.6</v>
      </c>
      <c r="V46" s="6">
        <v>69</v>
      </c>
      <c r="W46" s="6">
        <v>41.9</v>
      </c>
      <c r="X46" s="6">
        <v>41.4</v>
      </c>
      <c r="Y46" s="56">
        <f t="shared" si="9"/>
        <v>41.65</v>
      </c>
      <c r="Z46" s="6">
        <v>45.5</v>
      </c>
      <c r="AA46" s="6">
        <v>45.6</v>
      </c>
      <c r="AB46" s="56">
        <f t="shared" si="8"/>
        <v>45.55</v>
      </c>
      <c r="AC46" s="6">
        <v>42</v>
      </c>
      <c r="AD46" s="6">
        <v>41.9</v>
      </c>
      <c r="AE46" s="56">
        <f t="shared" si="10"/>
        <v>41.95</v>
      </c>
      <c r="AF46" s="14" t="s">
        <v>86</v>
      </c>
      <c r="AG46" s="14" t="s">
        <v>359</v>
      </c>
      <c r="AH46" s="14" t="s">
        <v>338</v>
      </c>
      <c r="AI46" s="14" t="s">
        <v>325</v>
      </c>
      <c r="AJ46" s="14" t="s">
        <v>203</v>
      </c>
      <c r="AK46" s="14" t="s">
        <v>340</v>
      </c>
      <c r="AL46" s="20" t="s">
        <v>401</v>
      </c>
      <c r="AM46" s="11" t="s">
        <v>86</v>
      </c>
      <c r="AN46" s="11" t="s">
        <v>340</v>
      </c>
      <c r="AO46" s="20" t="s">
        <v>402</v>
      </c>
      <c r="AP46" s="1" t="s">
        <v>322</v>
      </c>
      <c r="AQ46" s="1" t="s">
        <v>338</v>
      </c>
      <c r="AR46" s="6">
        <v>5</v>
      </c>
      <c r="AS46" s="6" t="s">
        <v>325</v>
      </c>
      <c r="AT46" s="6" t="s">
        <v>203</v>
      </c>
      <c r="AU46" s="6">
        <v>5</v>
      </c>
      <c r="AV46" s="36"/>
      <c r="AW46" s="36"/>
      <c r="AX46" s="36"/>
      <c r="AY46" s="36"/>
      <c r="AZ46" s="36"/>
      <c r="BB46" s="24" t="s">
        <v>403</v>
      </c>
      <c r="BC46" s="24" t="str">
        <f t="shared" si="4"/>
        <v>Obese</v>
      </c>
      <c r="BE46" s="1" t="s">
        <v>73</v>
      </c>
    </row>
    <row r="47" spans="1:57" ht="60" customHeight="1">
      <c r="A47" s="29" t="s">
        <v>404</v>
      </c>
      <c r="B47" s="8">
        <v>45493</v>
      </c>
      <c r="C47" s="1" t="s">
        <v>75</v>
      </c>
      <c r="D47" s="137">
        <v>22</v>
      </c>
      <c r="E47" s="137">
        <v>26</v>
      </c>
      <c r="F47" s="137">
        <v>26</v>
      </c>
      <c r="G47" s="6" t="s">
        <v>63</v>
      </c>
      <c r="H47" s="33" t="str">
        <f t="shared" si="11"/>
        <v>Yes</v>
      </c>
      <c r="I47" s="33">
        <v>81.5</v>
      </c>
      <c r="J47" s="6">
        <v>28.2</v>
      </c>
      <c r="K47" s="6">
        <v>18</v>
      </c>
      <c r="L47" s="6">
        <v>1750</v>
      </c>
      <c r="M47" s="6">
        <v>28.8</v>
      </c>
      <c r="N47" s="6">
        <v>33.9</v>
      </c>
      <c r="O47" s="6">
        <v>21.3</v>
      </c>
      <c r="P47" s="6">
        <v>46.2</v>
      </c>
      <c r="Q47" s="6">
        <v>20</v>
      </c>
      <c r="R47" s="6">
        <v>24.3</v>
      </c>
      <c r="S47" s="6">
        <v>18.399999999999999</v>
      </c>
      <c r="T47" s="6">
        <v>24.8</v>
      </c>
      <c r="U47" s="6">
        <v>28.9</v>
      </c>
      <c r="V47" s="6">
        <v>64</v>
      </c>
      <c r="W47" s="6">
        <v>45.1</v>
      </c>
      <c r="X47" s="6">
        <v>45.2</v>
      </c>
      <c r="Y47" s="56">
        <f t="shared" si="9"/>
        <v>45.150000000000006</v>
      </c>
      <c r="Z47" s="6">
        <v>45</v>
      </c>
      <c r="AA47" s="6">
        <v>44.1</v>
      </c>
      <c r="AB47" s="56">
        <f t="shared" si="8"/>
        <v>44.55</v>
      </c>
      <c r="AC47" s="6">
        <v>46</v>
      </c>
      <c r="AD47" s="6">
        <v>45.1</v>
      </c>
      <c r="AE47" s="56">
        <f t="shared" si="10"/>
        <v>45.55</v>
      </c>
      <c r="AF47" s="14" t="s">
        <v>337</v>
      </c>
      <c r="AG47" s="14" t="s">
        <v>359</v>
      </c>
      <c r="AH47" s="14" t="s">
        <v>360</v>
      </c>
      <c r="AI47" s="14" t="s">
        <v>325</v>
      </c>
      <c r="AJ47" s="14" t="s">
        <v>203</v>
      </c>
      <c r="AK47" s="14" t="s">
        <v>339</v>
      </c>
      <c r="AL47" s="1" t="s">
        <v>405</v>
      </c>
      <c r="AM47" s="11" t="s">
        <v>86</v>
      </c>
      <c r="AN47" s="11" t="s">
        <v>340</v>
      </c>
      <c r="AP47" s="1" t="s">
        <v>359</v>
      </c>
      <c r="AQ47" s="1" t="s">
        <v>360</v>
      </c>
      <c r="AR47" s="6">
        <v>5</v>
      </c>
      <c r="AS47" s="6" t="s">
        <v>325</v>
      </c>
      <c r="AT47" s="6" t="s">
        <v>203</v>
      </c>
      <c r="AU47" s="6">
        <v>5</v>
      </c>
      <c r="AV47" s="36"/>
      <c r="AW47" s="36"/>
      <c r="AX47" s="36"/>
      <c r="AY47" s="36"/>
      <c r="AZ47" s="36"/>
      <c r="BB47" s="24" t="s">
        <v>406</v>
      </c>
      <c r="BC47" s="24" t="str">
        <f t="shared" si="4"/>
        <v>Obese</v>
      </c>
      <c r="BE47" s="1" t="s">
        <v>73</v>
      </c>
    </row>
    <row r="48" spans="1:57" ht="99.95" customHeight="1">
      <c r="A48" s="29" t="s">
        <v>407</v>
      </c>
      <c r="B48" s="8">
        <v>45499</v>
      </c>
      <c r="C48" s="1" t="s">
        <v>117</v>
      </c>
      <c r="D48" s="6">
        <v>18</v>
      </c>
      <c r="G48" s="6" t="s">
        <v>85</v>
      </c>
      <c r="H48" s="33" t="str">
        <f t="shared" si="11"/>
        <v>Yes</v>
      </c>
      <c r="I48" s="33">
        <v>64.099999999999994</v>
      </c>
      <c r="J48" s="6">
        <v>34.9</v>
      </c>
      <c r="K48" s="6">
        <v>9</v>
      </c>
      <c r="L48" s="6">
        <v>1311</v>
      </c>
      <c r="M48" s="6">
        <v>23.6</v>
      </c>
      <c r="N48" s="6">
        <v>24.1</v>
      </c>
      <c r="O48" s="6">
        <v>17.3</v>
      </c>
      <c r="P48" s="6">
        <v>37.200000000000003</v>
      </c>
      <c r="Q48" s="6">
        <v>31.1</v>
      </c>
      <c r="R48" s="6">
        <v>45.9</v>
      </c>
      <c r="S48" s="6">
        <v>27.2</v>
      </c>
      <c r="T48" s="6">
        <v>40.6</v>
      </c>
      <c r="U48" s="6">
        <v>26.7</v>
      </c>
      <c r="V48" s="6">
        <v>61</v>
      </c>
      <c r="W48" s="6">
        <v>39.6</v>
      </c>
      <c r="X48" s="6">
        <v>39.700000000000003</v>
      </c>
      <c r="Y48" s="56">
        <f t="shared" si="9"/>
        <v>39.650000000000006</v>
      </c>
      <c r="Z48" s="6">
        <v>45.1</v>
      </c>
      <c r="AA48" s="6">
        <v>45</v>
      </c>
      <c r="AB48" s="56">
        <f t="shared" si="8"/>
        <v>45.05</v>
      </c>
      <c r="AC48" s="6">
        <v>40.4</v>
      </c>
      <c r="AD48" s="6">
        <v>40</v>
      </c>
      <c r="AE48" s="56">
        <f t="shared" si="10"/>
        <v>40.200000000000003</v>
      </c>
      <c r="AF48" s="14" t="s">
        <v>317</v>
      </c>
      <c r="AG48" s="14" t="s">
        <v>408</v>
      </c>
      <c r="AH48" s="14" t="s">
        <v>409</v>
      </c>
      <c r="AI48" s="14" t="s">
        <v>316</v>
      </c>
      <c r="AJ48" s="14" t="s">
        <v>214</v>
      </c>
      <c r="AK48" s="14" t="s">
        <v>410</v>
      </c>
      <c r="AL48" s="1" t="s">
        <v>411</v>
      </c>
      <c r="AM48" s="11" t="s">
        <v>330</v>
      </c>
      <c r="AN48" s="11" t="s">
        <v>410</v>
      </c>
      <c r="AP48" s="1" t="s">
        <v>408</v>
      </c>
      <c r="AQ48" s="1" t="s">
        <v>409</v>
      </c>
      <c r="AR48" s="6">
        <v>5</v>
      </c>
      <c r="AS48" s="6" t="s">
        <v>316</v>
      </c>
      <c r="AT48" s="6" t="s">
        <v>214</v>
      </c>
      <c r="AU48" s="6">
        <v>5</v>
      </c>
      <c r="AV48" s="36"/>
      <c r="AW48" s="36"/>
      <c r="AX48" s="36"/>
      <c r="AY48" s="36"/>
      <c r="AZ48" s="36"/>
      <c r="BB48" s="24" t="s">
        <v>412</v>
      </c>
      <c r="BC48" s="24" t="str">
        <f t="shared" si="4"/>
        <v>Obese</v>
      </c>
      <c r="BE48" s="1" t="s">
        <v>73</v>
      </c>
    </row>
    <row r="49" spans="1:69" ht="120" customHeight="1">
      <c r="A49" s="29" t="s">
        <v>413</v>
      </c>
      <c r="B49" s="8">
        <v>45499</v>
      </c>
      <c r="C49" s="1" t="s">
        <v>62</v>
      </c>
      <c r="D49" s="6">
        <v>22</v>
      </c>
      <c r="G49" s="6" t="s">
        <v>63</v>
      </c>
      <c r="H49" s="33" t="str">
        <f t="shared" si="11"/>
        <v>Yes</v>
      </c>
      <c r="I49" s="33">
        <v>78.599999999999994</v>
      </c>
      <c r="J49" s="6">
        <v>26.8</v>
      </c>
      <c r="K49" s="6">
        <v>9.5</v>
      </c>
      <c r="L49" s="6">
        <v>1720</v>
      </c>
      <c r="M49" s="6">
        <v>30.5</v>
      </c>
      <c r="N49" s="6">
        <v>36.299999999999997</v>
      </c>
      <c r="O49" s="6">
        <v>23</v>
      </c>
      <c r="P49" s="6">
        <v>47.9</v>
      </c>
      <c r="Q49" s="6">
        <v>18.3</v>
      </c>
      <c r="R49" s="6">
        <v>24.7</v>
      </c>
      <c r="S49" s="6">
        <v>16.2</v>
      </c>
      <c r="T49" s="6">
        <v>24.9</v>
      </c>
      <c r="U49" s="6">
        <v>23.5</v>
      </c>
      <c r="V49" s="6">
        <v>52</v>
      </c>
      <c r="W49" s="6">
        <v>43</v>
      </c>
      <c r="X49" s="6">
        <v>43.9</v>
      </c>
      <c r="Y49" s="56">
        <f t="shared" si="9"/>
        <v>43.45</v>
      </c>
      <c r="Z49" s="6">
        <v>48.8</v>
      </c>
      <c r="AA49" s="6">
        <v>47.8</v>
      </c>
      <c r="AB49" s="56">
        <f t="shared" si="8"/>
        <v>48.3</v>
      </c>
      <c r="AC49" s="6">
        <v>48</v>
      </c>
      <c r="AD49" s="6">
        <v>49</v>
      </c>
      <c r="AE49" s="56">
        <f t="shared" si="10"/>
        <v>48.5</v>
      </c>
      <c r="AF49" s="14" t="s">
        <v>128</v>
      </c>
      <c r="AG49" s="14" t="s">
        <v>221</v>
      </c>
      <c r="AH49" s="14" t="s">
        <v>130</v>
      </c>
      <c r="AI49" s="14" t="s">
        <v>131</v>
      </c>
      <c r="AJ49" s="14" t="s">
        <v>311</v>
      </c>
      <c r="AK49" s="14" t="s">
        <v>414</v>
      </c>
      <c r="AM49" s="11" t="s">
        <v>415</v>
      </c>
      <c r="AN49" s="11" t="s">
        <v>133</v>
      </c>
      <c r="AP49" s="1" t="s">
        <v>221</v>
      </c>
      <c r="AQ49" s="1" t="s">
        <v>130</v>
      </c>
      <c r="AR49" s="6">
        <v>5</v>
      </c>
      <c r="AS49" s="6" t="s">
        <v>131</v>
      </c>
      <c r="AT49" s="6" t="s">
        <v>311</v>
      </c>
      <c r="AU49" s="6">
        <v>5</v>
      </c>
      <c r="AV49" s="36"/>
      <c r="AW49" s="36"/>
      <c r="AX49" s="36"/>
      <c r="AY49" s="36"/>
      <c r="AZ49" s="36"/>
      <c r="BB49" s="24" t="s">
        <v>416</v>
      </c>
      <c r="BC49" s="24" t="str">
        <f t="shared" si="4"/>
        <v>Not Obese</v>
      </c>
      <c r="BE49" s="1" t="s">
        <v>73</v>
      </c>
      <c r="BM49" s="107"/>
    </row>
    <row r="50" spans="1:69" ht="80.099999999999994" customHeight="1">
      <c r="A50" s="29" t="s">
        <v>417</v>
      </c>
      <c r="B50" s="8">
        <v>45535</v>
      </c>
      <c r="C50" s="1" t="s">
        <v>62</v>
      </c>
      <c r="D50" s="6">
        <v>24</v>
      </c>
      <c r="G50" s="6" t="s">
        <v>85</v>
      </c>
      <c r="H50" s="33" t="str">
        <f t="shared" si="11"/>
        <v>Yes</v>
      </c>
      <c r="I50" s="33">
        <v>59.9</v>
      </c>
      <c r="J50" s="6">
        <v>35.6</v>
      </c>
      <c r="K50" s="6">
        <v>5</v>
      </c>
      <c r="L50" s="6">
        <v>1245</v>
      </c>
      <c r="M50" s="6">
        <v>23.3</v>
      </c>
      <c r="N50" s="6">
        <v>24.6</v>
      </c>
      <c r="O50" s="6">
        <v>17.7</v>
      </c>
      <c r="P50" s="6">
        <v>34.5</v>
      </c>
      <c r="Q50" s="6">
        <v>27.9</v>
      </c>
      <c r="R50" s="6">
        <v>27.9</v>
      </c>
      <c r="S50" s="6">
        <v>25.3</v>
      </c>
      <c r="T50" s="6">
        <v>39.9</v>
      </c>
      <c r="U50" s="6">
        <v>21.7</v>
      </c>
      <c r="V50" s="6">
        <v>55</v>
      </c>
      <c r="W50" s="6">
        <v>37.799999999999997</v>
      </c>
      <c r="X50" s="6">
        <v>38.299999999999997</v>
      </c>
      <c r="Y50" s="56">
        <f t="shared" si="9"/>
        <v>38.049999999999997</v>
      </c>
      <c r="Z50" s="6">
        <v>47.1</v>
      </c>
      <c r="AA50" s="6">
        <v>47.4</v>
      </c>
      <c r="AB50" s="56">
        <f t="shared" si="8"/>
        <v>47.25</v>
      </c>
      <c r="AC50" s="6">
        <v>44.7</v>
      </c>
      <c r="AD50" s="6">
        <v>44.6</v>
      </c>
      <c r="AE50" s="56">
        <f t="shared" si="10"/>
        <v>44.650000000000006</v>
      </c>
      <c r="AF50" s="14" t="s">
        <v>418</v>
      </c>
      <c r="AG50" s="14" t="s">
        <v>343</v>
      </c>
      <c r="AH50" s="14" t="s">
        <v>87</v>
      </c>
      <c r="AI50" s="14" t="s">
        <v>324</v>
      </c>
      <c r="AJ50" s="14" t="s">
        <v>419</v>
      </c>
      <c r="AK50" s="14" t="s">
        <v>345</v>
      </c>
      <c r="AL50" s="1" t="s">
        <v>420</v>
      </c>
      <c r="AM50" s="11" t="s">
        <v>418</v>
      </c>
      <c r="AN50" s="11" t="s">
        <v>345</v>
      </c>
      <c r="AP50" s="1" t="s">
        <v>343</v>
      </c>
      <c r="AQ50" s="1" t="s">
        <v>87</v>
      </c>
      <c r="AR50" s="6">
        <v>5</v>
      </c>
      <c r="AS50" s="6" t="s">
        <v>324</v>
      </c>
      <c r="AT50" s="6" t="s">
        <v>419</v>
      </c>
      <c r="AU50" s="6">
        <v>5</v>
      </c>
      <c r="AV50" s="36"/>
      <c r="AW50" s="36"/>
      <c r="AX50" s="36"/>
      <c r="AY50" s="36"/>
      <c r="AZ50" s="36"/>
      <c r="BB50" s="24" t="s">
        <v>421</v>
      </c>
      <c r="BC50" s="24" t="str">
        <f t="shared" si="4"/>
        <v>Not Obese</v>
      </c>
      <c r="BD50" s="29"/>
      <c r="BE50" s="1" t="s">
        <v>422</v>
      </c>
      <c r="BQ50" s="107"/>
    </row>
    <row r="51" spans="1:69" ht="20.100000000000001" customHeight="1">
      <c r="A51" s="29" t="s">
        <v>423</v>
      </c>
      <c r="B51" s="8">
        <v>45535</v>
      </c>
      <c r="C51" s="1" t="s">
        <v>75</v>
      </c>
      <c r="D51" s="6">
        <v>17</v>
      </c>
      <c r="G51" s="6" t="s">
        <v>85</v>
      </c>
      <c r="H51" s="33" t="str">
        <f t="shared" si="11"/>
        <v>Yes</v>
      </c>
      <c r="I51" s="33">
        <v>63.9</v>
      </c>
      <c r="J51" s="6">
        <v>37.6</v>
      </c>
      <c r="K51" s="6">
        <v>11</v>
      </c>
      <c r="L51" s="6">
        <v>1292</v>
      </c>
      <c r="M51" s="6">
        <v>21.9</v>
      </c>
      <c r="N51" s="6">
        <v>22.1</v>
      </c>
      <c r="O51" s="6">
        <v>16.2</v>
      </c>
      <c r="P51" s="6">
        <v>35.200000000000003</v>
      </c>
      <c r="Q51" s="6">
        <v>34</v>
      </c>
      <c r="R51" s="6">
        <v>50.5</v>
      </c>
      <c r="S51" s="6">
        <v>30</v>
      </c>
      <c r="T51" s="6">
        <v>46.7</v>
      </c>
      <c r="U51" s="6">
        <v>28.8</v>
      </c>
      <c r="V51" s="6">
        <v>56</v>
      </c>
      <c r="W51" s="6">
        <v>44.1</v>
      </c>
      <c r="X51" s="6">
        <v>43.3</v>
      </c>
      <c r="Y51" s="56">
        <f t="shared" si="9"/>
        <v>43.7</v>
      </c>
      <c r="Z51" s="6">
        <v>49.4</v>
      </c>
      <c r="AA51" s="6">
        <v>49.1</v>
      </c>
      <c r="AB51" s="56">
        <f t="shared" si="8"/>
        <v>49.25</v>
      </c>
      <c r="AC51" s="6">
        <v>38</v>
      </c>
      <c r="AD51" s="6">
        <v>39</v>
      </c>
      <c r="AE51" s="56">
        <f t="shared" si="10"/>
        <v>38.5</v>
      </c>
      <c r="AF51" s="14" t="s">
        <v>424</v>
      </c>
      <c r="AG51" s="14" t="s">
        <v>178</v>
      </c>
      <c r="AH51" s="14" t="s">
        <v>172</v>
      </c>
      <c r="AI51" s="14" t="s">
        <v>173</v>
      </c>
      <c r="AJ51" s="14" t="s">
        <v>174</v>
      </c>
      <c r="AK51" s="14" t="s">
        <v>175</v>
      </c>
      <c r="AM51" s="11" t="s">
        <v>170</v>
      </c>
      <c r="AN51" s="11" t="s">
        <v>175</v>
      </c>
      <c r="AP51" s="1" t="s">
        <v>178</v>
      </c>
      <c r="AQ51" s="1" t="s">
        <v>172</v>
      </c>
      <c r="AR51" s="6">
        <v>5</v>
      </c>
      <c r="AS51" s="6" t="s">
        <v>173</v>
      </c>
      <c r="AT51" s="6" t="s">
        <v>174</v>
      </c>
      <c r="AU51" s="6">
        <v>5</v>
      </c>
      <c r="AV51" s="36"/>
      <c r="AW51" s="36"/>
      <c r="AX51" s="36"/>
      <c r="AY51" s="36"/>
      <c r="AZ51" s="36"/>
      <c r="BB51" s="24" t="s">
        <v>425</v>
      </c>
      <c r="BC51" s="24" t="str">
        <f t="shared" si="4"/>
        <v>Obese</v>
      </c>
      <c r="BD51" s="29"/>
      <c r="BE51" s="1" t="s">
        <v>426</v>
      </c>
    </row>
    <row r="52" spans="1:69" ht="80.099999999999994" customHeight="1">
      <c r="A52" s="29" t="s">
        <v>427</v>
      </c>
      <c r="B52" s="8">
        <v>45500</v>
      </c>
      <c r="C52" s="1" t="s">
        <v>117</v>
      </c>
      <c r="D52" s="6">
        <v>31</v>
      </c>
      <c r="G52" s="6" t="s">
        <v>63</v>
      </c>
      <c r="H52" s="33" t="str">
        <f t="shared" si="11"/>
        <v>No</v>
      </c>
      <c r="I52" s="33">
        <v>69.3</v>
      </c>
      <c r="J52" s="6">
        <v>24.7</v>
      </c>
      <c r="K52" s="6">
        <v>9.5</v>
      </c>
      <c r="L52" s="6">
        <v>1579</v>
      </c>
      <c r="M52" s="6">
        <v>30.7</v>
      </c>
      <c r="N52" s="6">
        <v>36.9</v>
      </c>
      <c r="O52" s="6">
        <v>23.8</v>
      </c>
      <c r="P52" s="6">
        <v>48.1</v>
      </c>
      <c r="Q52" s="6">
        <v>17</v>
      </c>
      <c r="R52" s="6">
        <v>23.1</v>
      </c>
      <c r="S52" s="6">
        <v>15.1</v>
      </c>
      <c r="T52" s="6">
        <v>23.1</v>
      </c>
      <c r="U52" s="6">
        <v>24</v>
      </c>
      <c r="V52" s="6">
        <v>47</v>
      </c>
      <c r="W52" s="6">
        <v>37.9</v>
      </c>
      <c r="X52" s="6">
        <v>39.6</v>
      </c>
      <c r="Y52" s="56">
        <f t="shared" si="9"/>
        <v>38.75</v>
      </c>
      <c r="Z52" s="6">
        <v>44.2</v>
      </c>
      <c r="AA52" s="6">
        <v>45.3</v>
      </c>
      <c r="AB52" s="56">
        <f t="shared" si="8"/>
        <v>44.75</v>
      </c>
      <c r="AC52" s="6">
        <v>47.6</v>
      </c>
      <c r="AD52" s="6">
        <v>46.3</v>
      </c>
      <c r="AE52" s="56">
        <f t="shared" si="10"/>
        <v>46.95</v>
      </c>
      <c r="AF52" s="14" t="s">
        <v>337</v>
      </c>
      <c r="AG52" s="14" t="s">
        <v>222</v>
      </c>
      <c r="AH52" s="14" t="s">
        <v>201</v>
      </c>
      <c r="AI52" s="14" t="s">
        <v>223</v>
      </c>
      <c r="AJ52" s="14" t="s">
        <v>259</v>
      </c>
      <c r="AK52" s="14" t="s">
        <v>339</v>
      </c>
      <c r="AL52" s="1" t="s">
        <v>428</v>
      </c>
      <c r="AM52" s="11" t="s">
        <v>86</v>
      </c>
      <c r="AN52" s="11" t="s">
        <v>339</v>
      </c>
      <c r="AP52" s="1" t="s">
        <v>222</v>
      </c>
      <c r="AQ52" s="1" t="s">
        <v>201</v>
      </c>
      <c r="AR52" s="6">
        <v>5</v>
      </c>
      <c r="AS52" s="6" t="s">
        <v>223</v>
      </c>
      <c r="AT52" s="6" t="s">
        <v>259</v>
      </c>
      <c r="AU52" s="6">
        <v>6</v>
      </c>
      <c r="AV52" s="36"/>
      <c r="AW52" s="36"/>
      <c r="AX52" s="36"/>
      <c r="AY52" s="36"/>
      <c r="AZ52" s="36"/>
      <c r="BB52" s="24" t="s">
        <v>429</v>
      </c>
      <c r="BC52" s="24" t="str">
        <f t="shared" si="4"/>
        <v>Not Obese</v>
      </c>
      <c r="BD52" s="29"/>
      <c r="BE52" s="1" t="s">
        <v>430</v>
      </c>
      <c r="BK52" s="1" t="s">
        <v>431</v>
      </c>
    </row>
    <row r="53" spans="1:69" ht="20.100000000000001" customHeight="1">
      <c r="A53" s="29" t="s">
        <v>432</v>
      </c>
      <c r="B53" s="8">
        <v>45500</v>
      </c>
      <c r="C53" s="1" t="s">
        <v>62</v>
      </c>
      <c r="D53" s="6">
        <v>31</v>
      </c>
      <c r="G53" s="6" t="s">
        <v>63</v>
      </c>
      <c r="H53" s="33" t="str">
        <f t="shared" si="11"/>
        <v>No</v>
      </c>
      <c r="I53" s="33">
        <v>71.5</v>
      </c>
      <c r="J53" s="6">
        <v>24.1</v>
      </c>
      <c r="K53" s="6">
        <v>11.5</v>
      </c>
      <c r="L53" s="6">
        <v>1615</v>
      </c>
      <c r="M53" s="6">
        <v>30.6</v>
      </c>
      <c r="N53" s="6">
        <v>35.799999999999997</v>
      </c>
      <c r="O53" s="6">
        <v>23.8</v>
      </c>
      <c r="P53" s="6">
        <v>47.9</v>
      </c>
      <c r="Q53" s="6">
        <v>16.7</v>
      </c>
      <c r="R53" s="6">
        <v>21.4</v>
      </c>
      <c r="S53" s="6">
        <v>15</v>
      </c>
      <c r="T53" s="6">
        <v>21.5</v>
      </c>
      <c r="U53" s="6">
        <v>24.7</v>
      </c>
      <c r="V53" s="6">
        <v>53</v>
      </c>
      <c r="W53" s="6">
        <v>39.6</v>
      </c>
      <c r="X53" s="6">
        <v>39.6</v>
      </c>
      <c r="Y53" s="56">
        <f t="shared" si="9"/>
        <v>39.6</v>
      </c>
      <c r="Z53" s="6">
        <v>47.3</v>
      </c>
      <c r="AA53" s="6">
        <v>47.3</v>
      </c>
      <c r="AB53" s="56">
        <f t="shared" si="8"/>
        <v>47.3</v>
      </c>
      <c r="AC53" s="6">
        <v>48.8</v>
      </c>
      <c r="AD53" s="6">
        <v>48.5</v>
      </c>
      <c r="AE53" s="56">
        <f t="shared" si="10"/>
        <v>48.65</v>
      </c>
      <c r="AF53" s="14" t="s">
        <v>363</v>
      </c>
      <c r="AG53" s="14" t="s">
        <v>137</v>
      </c>
      <c r="AH53" s="14" t="s">
        <v>433</v>
      </c>
      <c r="AI53" s="14" t="s">
        <v>132</v>
      </c>
      <c r="AJ53" s="14" t="s">
        <v>284</v>
      </c>
      <c r="AK53" s="14" t="s">
        <v>434</v>
      </c>
      <c r="AM53" s="11" t="s">
        <v>435</v>
      </c>
      <c r="AN53" s="11" t="s">
        <v>339</v>
      </c>
      <c r="AP53" s="1" t="s">
        <v>137</v>
      </c>
      <c r="AQ53" s="1" t="s">
        <v>433</v>
      </c>
      <c r="AR53" s="6">
        <v>5</v>
      </c>
      <c r="AS53" s="6" t="s">
        <v>132</v>
      </c>
      <c r="AT53" s="6" t="s">
        <v>284</v>
      </c>
      <c r="AU53" s="6">
        <v>6</v>
      </c>
      <c r="AV53" s="36"/>
      <c r="AW53" s="36"/>
      <c r="AX53" s="36"/>
      <c r="AY53" s="36"/>
      <c r="AZ53" s="36"/>
      <c r="BB53" s="24" t="s">
        <v>436</v>
      </c>
      <c r="BC53" s="24" t="str">
        <f t="shared" si="4"/>
        <v>Not Obese</v>
      </c>
      <c r="BD53" s="29"/>
      <c r="BE53" s="1" t="s">
        <v>437</v>
      </c>
    </row>
    <row r="54" spans="1:69" ht="39.950000000000003" customHeight="1">
      <c r="A54" s="29" t="s">
        <v>438</v>
      </c>
      <c r="B54" s="8">
        <v>45500</v>
      </c>
      <c r="C54" s="1" t="s">
        <v>84</v>
      </c>
      <c r="D54" s="54">
        <v>31</v>
      </c>
      <c r="E54" s="54">
        <v>40</v>
      </c>
      <c r="F54" s="54">
        <v>41</v>
      </c>
      <c r="G54" s="77" t="s">
        <v>63</v>
      </c>
      <c r="H54" s="33" t="str">
        <f t="shared" si="11"/>
        <v>Yes</v>
      </c>
      <c r="I54" s="33">
        <v>80.2</v>
      </c>
      <c r="J54" s="6">
        <v>30.5</v>
      </c>
      <c r="K54" s="6">
        <v>13.5</v>
      </c>
      <c r="L54" s="6">
        <v>1719</v>
      </c>
      <c r="M54" s="6">
        <v>28.4</v>
      </c>
      <c r="N54" s="6">
        <v>34.700000000000003</v>
      </c>
      <c r="O54" s="6">
        <v>20.3</v>
      </c>
      <c r="P54" s="6">
        <v>45.8</v>
      </c>
      <c r="Q54" s="6">
        <v>20.9</v>
      </c>
      <c r="R54" s="6">
        <v>28.2</v>
      </c>
      <c r="S54" s="6">
        <v>18.899999999999999</v>
      </c>
      <c r="T54" s="6">
        <v>28.8</v>
      </c>
      <c r="U54" s="6">
        <v>26.2</v>
      </c>
      <c r="V54" s="6">
        <v>59</v>
      </c>
      <c r="W54" s="6">
        <v>42.2</v>
      </c>
      <c r="X54" s="6">
        <v>42.2</v>
      </c>
      <c r="Y54" s="56">
        <f t="shared" si="9"/>
        <v>42.2</v>
      </c>
      <c r="Z54" s="6">
        <v>49.3</v>
      </c>
      <c r="AA54" s="6">
        <v>48</v>
      </c>
      <c r="AB54" s="56">
        <f t="shared" si="8"/>
        <v>48.65</v>
      </c>
      <c r="AC54" s="6">
        <v>49</v>
      </c>
      <c r="AD54" s="6">
        <v>50</v>
      </c>
      <c r="AE54" s="56">
        <f t="shared" si="10"/>
        <v>49.5</v>
      </c>
      <c r="AF54" s="14" t="s">
        <v>182</v>
      </c>
      <c r="AG54" s="14" t="s">
        <v>65</v>
      </c>
      <c r="AH54" s="14" t="s">
        <v>211</v>
      </c>
      <c r="AI54" s="14" t="s">
        <v>71</v>
      </c>
      <c r="AJ54" s="14" t="s">
        <v>68</v>
      </c>
      <c r="AK54" s="14" t="s">
        <v>69</v>
      </c>
      <c r="AL54" s="1" t="s">
        <v>439</v>
      </c>
      <c r="AM54" s="11" t="s">
        <v>182</v>
      </c>
      <c r="AN54" s="11" t="s">
        <v>69</v>
      </c>
      <c r="AP54" s="1" t="s">
        <v>120</v>
      </c>
      <c r="AQ54" s="1" t="s">
        <v>211</v>
      </c>
      <c r="AR54" s="6">
        <v>5</v>
      </c>
      <c r="AS54" s="6" t="s">
        <v>71</v>
      </c>
      <c r="AT54" s="6" t="s">
        <v>68</v>
      </c>
      <c r="AU54" s="6">
        <v>5</v>
      </c>
      <c r="AV54" s="36"/>
      <c r="AW54" s="36"/>
      <c r="AX54" s="36"/>
      <c r="AY54" s="36"/>
      <c r="AZ54" s="36"/>
      <c r="BB54" s="52" t="s">
        <v>440</v>
      </c>
      <c r="BC54" s="24" t="str">
        <f t="shared" si="4"/>
        <v>Obese</v>
      </c>
      <c r="BD54" s="29"/>
      <c r="BE54" s="1" t="s">
        <v>441</v>
      </c>
    </row>
    <row r="55" spans="1:69" ht="80.099999999999994" customHeight="1">
      <c r="A55" s="29" t="s">
        <v>442</v>
      </c>
      <c r="B55" s="8">
        <v>45500</v>
      </c>
      <c r="C55" s="1" t="s">
        <v>75</v>
      </c>
      <c r="D55" s="6">
        <v>23</v>
      </c>
      <c r="G55" s="6" t="s">
        <v>85</v>
      </c>
      <c r="H55" s="33" t="str">
        <f t="shared" si="11"/>
        <v>No</v>
      </c>
      <c r="I55" s="33">
        <v>44.1</v>
      </c>
      <c r="J55" s="6">
        <v>24.7</v>
      </c>
      <c r="K55" s="6">
        <v>1.5</v>
      </c>
      <c r="L55" s="6">
        <v>1039</v>
      </c>
      <c r="M55" s="6">
        <v>26.5</v>
      </c>
      <c r="N55" s="6">
        <v>31.8</v>
      </c>
      <c r="O55" s="6">
        <v>21.5</v>
      </c>
      <c r="P55" s="6">
        <v>37.1</v>
      </c>
      <c r="Q55" s="6">
        <v>19.3</v>
      </c>
      <c r="R55" s="6">
        <v>34.700000000000003</v>
      </c>
      <c r="S55" s="6">
        <v>15.8</v>
      </c>
      <c r="T55" s="6">
        <v>27.8</v>
      </c>
      <c r="U55" s="6">
        <v>17.399999999999999</v>
      </c>
      <c r="V55" s="6">
        <v>36</v>
      </c>
      <c r="W55" s="6">
        <v>36</v>
      </c>
      <c r="X55" s="6">
        <v>35.299999999999997</v>
      </c>
      <c r="Y55" s="56">
        <f t="shared" si="9"/>
        <v>35.65</v>
      </c>
      <c r="Z55" s="6">
        <v>43.6</v>
      </c>
      <c r="AA55" s="6">
        <v>43.3</v>
      </c>
      <c r="AB55" s="56">
        <f t="shared" si="8"/>
        <v>43.45</v>
      </c>
      <c r="AC55" s="6">
        <v>42.8</v>
      </c>
      <c r="AD55" s="6">
        <v>43</v>
      </c>
      <c r="AE55" s="56">
        <f t="shared" si="10"/>
        <v>42.9</v>
      </c>
      <c r="AF55" s="14" t="s">
        <v>443</v>
      </c>
      <c r="AG55" s="14" t="s">
        <v>78</v>
      </c>
      <c r="AH55" s="14" t="s">
        <v>444</v>
      </c>
      <c r="AI55" s="14" t="s">
        <v>183</v>
      </c>
      <c r="AJ55" s="14" t="s">
        <v>445</v>
      </c>
      <c r="AK55" s="14" t="s">
        <v>446</v>
      </c>
      <c r="AL55" s="20" t="s">
        <v>447</v>
      </c>
      <c r="AM55" s="11" t="s">
        <v>448</v>
      </c>
      <c r="AN55" s="11" t="s">
        <v>449</v>
      </c>
      <c r="AO55" s="1" t="s">
        <v>450</v>
      </c>
      <c r="AP55" s="1" t="s">
        <v>78</v>
      </c>
      <c r="AQ55" s="1" t="s">
        <v>444</v>
      </c>
      <c r="AR55" s="6">
        <v>5</v>
      </c>
      <c r="AS55" s="6" t="s">
        <v>183</v>
      </c>
      <c r="AT55" s="6" t="s">
        <v>445</v>
      </c>
      <c r="AU55" s="6">
        <v>6</v>
      </c>
      <c r="AV55" s="36"/>
      <c r="AW55" s="36"/>
      <c r="AX55" s="36"/>
      <c r="AY55" s="36"/>
      <c r="AZ55" s="36"/>
      <c r="BB55" s="24" t="s">
        <v>451</v>
      </c>
      <c r="BC55" s="24" t="str">
        <f t="shared" si="4"/>
        <v>Not Obese</v>
      </c>
      <c r="BD55" s="29"/>
      <c r="BE55" s="1" t="s">
        <v>452</v>
      </c>
    </row>
    <row r="56" spans="1:69" ht="60" customHeight="1">
      <c r="A56" s="29" t="s">
        <v>453</v>
      </c>
      <c r="B56" s="8">
        <v>45502</v>
      </c>
      <c r="C56" s="1" t="s">
        <v>117</v>
      </c>
      <c r="D56" s="54">
        <v>27</v>
      </c>
      <c r="E56" s="54">
        <v>30</v>
      </c>
      <c r="F56" s="54">
        <v>33</v>
      </c>
      <c r="G56" s="6" t="s">
        <v>63</v>
      </c>
      <c r="H56" s="33" t="str">
        <f t="shared" si="11"/>
        <v>Yes</v>
      </c>
      <c r="I56" s="33">
        <v>109.6</v>
      </c>
      <c r="J56" s="6">
        <v>33</v>
      </c>
      <c r="K56" s="6">
        <v>24</v>
      </c>
      <c r="L56" s="6">
        <v>2172</v>
      </c>
      <c r="M56" s="6">
        <v>28.7</v>
      </c>
      <c r="N56" s="6">
        <v>33</v>
      </c>
      <c r="O56" s="6">
        <v>19.8</v>
      </c>
      <c r="P56" s="6">
        <v>46.1</v>
      </c>
      <c r="Q56" s="6">
        <v>24</v>
      </c>
      <c r="R56" s="6">
        <v>29.6</v>
      </c>
      <c r="S56" s="6">
        <v>22.7</v>
      </c>
      <c r="T56" s="6">
        <v>30.5</v>
      </c>
      <c r="U56" s="6">
        <v>35.4</v>
      </c>
      <c r="V56" s="6">
        <v>66</v>
      </c>
      <c r="W56" s="6">
        <v>45.6</v>
      </c>
      <c r="X56" s="6">
        <v>46.5</v>
      </c>
      <c r="Y56" s="56">
        <f t="shared" si="9"/>
        <v>46.05</v>
      </c>
      <c r="Z56" s="6">
        <v>53.3</v>
      </c>
      <c r="AA56" s="6">
        <v>53.2</v>
      </c>
      <c r="AB56" s="56">
        <f t="shared" si="8"/>
        <v>53.25</v>
      </c>
      <c r="AC56" s="6">
        <v>47</v>
      </c>
      <c r="AD56" s="6">
        <v>49.3</v>
      </c>
      <c r="AE56" s="56">
        <f t="shared" si="10"/>
        <v>48.15</v>
      </c>
      <c r="AF56" s="14" t="s">
        <v>220</v>
      </c>
      <c r="AG56" s="14" t="s">
        <v>397</v>
      </c>
      <c r="AH56" s="14" t="s">
        <v>454</v>
      </c>
      <c r="AI56" s="14" t="s">
        <v>214</v>
      </c>
      <c r="AJ56" s="14" t="s">
        <v>215</v>
      </c>
      <c r="AK56" s="14" t="s">
        <v>216</v>
      </c>
      <c r="AL56" s="20" t="s">
        <v>455</v>
      </c>
      <c r="AM56" s="11" t="s">
        <v>220</v>
      </c>
      <c r="AN56" s="11" t="s">
        <v>216</v>
      </c>
      <c r="AP56" s="1" t="s">
        <v>409</v>
      </c>
      <c r="AQ56" s="1" t="s">
        <v>454</v>
      </c>
      <c r="AR56" s="6">
        <v>5</v>
      </c>
      <c r="AS56" s="6" t="s">
        <v>214</v>
      </c>
      <c r="AT56" s="6" t="s">
        <v>215</v>
      </c>
      <c r="AU56" s="6">
        <v>5</v>
      </c>
      <c r="AV56" s="36"/>
      <c r="AW56" s="36"/>
      <c r="AX56" s="36"/>
      <c r="AY56" s="36"/>
      <c r="AZ56" s="36"/>
      <c r="BB56" s="52" t="s">
        <v>456</v>
      </c>
      <c r="BC56" s="24" t="str">
        <f t="shared" si="4"/>
        <v>Obese</v>
      </c>
      <c r="BD56" s="29"/>
      <c r="BE56" s="1" t="s">
        <v>457</v>
      </c>
    </row>
    <row r="57" spans="1:69" ht="20.100000000000001" customHeight="1">
      <c r="A57" s="29" t="s">
        <v>458</v>
      </c>
      <c r="B57" s="8">
        <v>45502</v>
      </c>
      <c r="C57" s="1" t="s">
        <v>62</v>
      </c>
      <c r="D57" s="6">
        <v>20</v>
      </c>
      <c r="G57" s="6" t="s">
        <v>85</v>
      </c>
      <c r="H57" s="33" t="str">
        <f t="shared" si="11"/>
        <v>Yes</v>
      </c>
      <c r="I57" s="33">
        <v>72.900000000000006</v>
      </c>
      <c r="J57" s="6">
        <v>39.1</v>
      </c>
      <c r="K57" s="6">
        <v>12.5</v>
      </c>
      <c r="L57" s="6">
        <v>1423</v>
      </c>
      <c r="M57" s="6">
        <v>22.3</v>
      </c>
      <c r="N57" s="6">
        <v>20.5</v>
      </c>
      <c r="O57" s="6">
        <v>15.2</v>
      </c>
      <c r="P57" s="6">
        <v>36.200000000000003</v>
      </c>
      <c r="Q57" s="6">
        <v>34.799999999999997</v>
      </c>
      <c r="R57" s="6">
        <v>50.1</v>
      </c>
      <c r="S57" s="6">
        <v>31.1</v>
      </c>
      <c r="T57" s="6">
        <v>44</v>
      </c>
      <c r="U57" s="6">
        <v>28.8</v>
      </c>
      <c r="V57" s="6">
        <v>78</v>
      </c>
      <c r="W57" s="6">
        <v>41.7</v>
      </c>
      <c r="X57" s="6">
        <v>41</v>
      </c>
      <c r="Y57" s="56">
        <f t="shared" si="9"/>
        <v>41.35</v>
      </c>
      <c r="Z57" s="6">
        <v>44.7</v>
      </c>
      <c r="AA57" s="6">
        <v>45.1</v>
      </c>
      <c r="AB57" s="56">
        <f t="shared" si="8"/>
        <v>44.900000000000006</v>
      </c>
      <c r="AC57" s="6">
        <v>42.7</v>
      </c>
      <c r="AD57" s="6">
        <v>42</v>
      </c>
      <c r="AE57" s="56">
        <f t="shared" si="10"/>
        <v>42.35</v>
      </c>
      <c r="AF57" s="14" t="s">
        <v>257</v>
      </c>
      <c r="AG57" s="14" t="s">
        <v>338</v>
      </c>
      <c r="AH57" s="14" t="s">
        <v>202</v>
      </c>
      <c r="AI57" s="14" t="s">
        <v>203</v>
      </c>
      <c r="AJ57" s="14" t="s">
        <v>89</v>
      </c>
      <c r="AK57" s="14" t="s">
        <v>204</v>
      </c>
      <c r="AM57" s="11" t="s">
        <v>257</v>
      </c>
      <c r="AN57" s="11" t="s">
        <v>459</v>
      </c>
      <c r="AP57" s="1" t="s">
        <v>338</v>
      </c>
      <c r="AQ57" s="1" t="s">
        <v>202</v>
      </c>
      <c r="AR57" s="6">
        <v>5</v>
      </c>
      <c r="AS57" s="6" t="s">
        <v>203</v>
      </c>
      <c r="AT57" s="6" t="s">
        <v>89</v>
      </c>
      <c r="AU57" s="6">
        <v>5</v>
      </c>
      <c r="AV57" s="36"/>
      <c r="AW57" s="36"/>
      <c r="AX57" s="36"/>
      <c r="AY57" s="36"/>
      <c r="AZ57" s="36"/>
      <c r="BB57" s="24" t="s">
        <v>460</v>
      </c>
      <c r="BC57" s="24" t="str">
        <f t="shared" si="4"/>
        <v>Obese</v>
      </c>
      <c r="BD57" s="29"/>
      <c r="BE57" s="1" t="s">
        <v>461</v>
      </c>
    </row>
    <row r="58" spans="1:69" ht="120" customHeight="1">
      <c r="A58" s="29" t="s">
        <v>462</v>
      </c>
      <c r="B58" s="8">
        <v>45502</v>
      </c>
      <c r="C58" s="1" t="s">
        <v>84</v>
      </c>
      <c r="D58" s="6">
        <v>31</v>
      </c>
      <c r="G58" s="6" t="s">
        <v>85</v>
      </c>
      <c r="H58" s="33" t="str">
        <f t="shared" si="11"/>
        <v>Yes</v>
      </c>
      <c r="I58" s="33">
        <v>75</v>
      </c>
      <c r="J58" s="6">
        <v>35</v>
      </c>
      <c r="K58" s="6">
        <v>7</v>
      </c>
      <c r="L58" s="6">
        <v>1482</v>
      </c>
      <c r="M58" s="6">
        <v>24.7</v>
      </c>
      <c r="N58" s="6">
        <v>22.9</v>
      </c>
      <c r="O58" s="6">
        <v>18</v>
      </c>
      <c r="P58" s="6">
        <v>37.9</v>
      </c>
      <c r="Q58" s="6">
        <v>30.4</v>
      </c>
      <c r="R58" s="6">
        <v>47</v>
      </c>
      <c r="S58" s="6">
        <v>26.7</v>
      </c>
      <c r="T58" s="6">
        <v>41.8</v>
      </c>
      <c r="U58" s="6">
        <v>25.6</v>
      </c>
      <c r="V58" s="6">
        <v>55</v>
      </c>
      <c r="W58" s="6">
        <v>42.4</v>
      </c>
      <c r="X58" s="6">
        <v>41.4</v>
      </c>
      <c r="Y58" s="56">
        <f t="shared" si="9"/>
        <v>41.9</v>
      </c>
      <c r="Z58" s="6">
        <v>52.6</v>
      </c>
      <c r="AA58" s="6">
        <v>52.1</v>
      </c>
      <c r="AB58" s="56">
        <f t="shared" si="8"/>
        <v>52.35</v>
      </c>
      <c r="AC58" s="6">
        <v>47.7</v>
      </c>
      <c r="AD58" s="6">
        <v>46.5</v>
      </c>
      <c r="AE58" s="56">
        <f t="shared" si="10"/>
        <v>47.1</v>
      </c>
      <c r="AF58" s="14" t="s">
        <v>86</v>
      </c>
      <c r="AG58" s="14" t="s">
        <v>137</v>
      </c>
      <c r="AH58" s="14" t="s">
        <v>433</v>
      </c>
      <c r="AI58" s="14" t="s">
        <v>311</v>
      </c>
      <c r="AJ58" s="14" t="s">
        <v>324</v>
      </c>
      <c r="AK58" s="14" t="s">
        <v>463</v>
      </c>
      <c r="AL58" s="20" t="s">
        <v>464</v>
      </c>
      <c r="AM58" s="11" t="s">
        <v>86</v>
      </c>
      <c r="AN58" s="11" t="s">
        <v>285</v>
      </c>
      <c r="AO58" s="20" t="s">
        <v>465</v>
      </c>
      <c r="AV58" s="36"/>
      <c r="AW58" s="36"/>
      <c r="AX58" s="36"/>
      <c r="AY58" s="36"/>
      <c r="AZ58" s="36"/>
      <c r="BB58" s="24" t="s">
        <v>466</v>
      </c>
      <c r="BC58" s="24" t="str">
        <f t="shared" si="4"/>
        <v>Obese</v>
      </c>
      <c r="BD58" s="29"/>
      <c r="BE58" s="1" t="s">
        <v>467</v>
      </c>
    </row>
    <row r="59" spans="1:69" ht="99.95" customHeight="1">
      <c r="A59" s="29" t="s">
        <v>468</v>
      </c>
      <c r="B59" s="8">
        <v>45502</v>
      </c>
      <c r="C59" s="1" t="s">
        <v>75</v>
      </c>
      <c r="D59" s="54">
        <v>29</v>
      </c>
      <c r="E59" s="54">
        <v>31</v>
      </c>
      <c r="F59" s="54">
        <v>33</v>
      </c>
      <c r="G59" s="6" t="s">
        <v>63</v>
      </c>
      <c r="H59" s="33" t="str">
        <f t="shared" si="11"/>
        <v>No</v>
      </c>
      <c r="I59" s="33">
        <v>77.099999999999994</v>
      </c>
      <c r="J59" s="6">
        <v>21.7</v>
      </c>
      <c r="K59" s="6">
        <v>9.5</v>
      </c>
      <c r="L59" s="6">
        <v>1728</v>
      </c>
      <c r="M59" s="6">
        <v>32.9</v>
      </c>
      <c r="N59" s="6">
        <v>37</v>
      </c>
      <c r="O59" s="6">
        <v>26.2</v>
      </c>
      <c r="P59" s="6">
        <v>50.1</v>
      </c>
      <c r="Q59" s="6">
        <v>15.1</v>
      </c>
      <c r="R59" s="6">
        <v>19.100000000000001</v>
      </c>
      <c r="S59" s="6">
        <v>13.4</v>
      </c>
      <c r="T59" s="6">
        <v>19</v>
      </c>
      <c r="U59" s="6">
        <v>23.8</v>
      </c>
      <c r="V59" s="6">
        <v>48</v>
      </c>
      <c r="W59" s="6">
        <v>40.4</v>
      </c>
      <c r="X59" s="6">
        <v>39.5</v>
      </c>
      <c r="Y59" s="56">
        <f t="shared" si="9"/>
        <v>39.950000000000003</v>
      </c>
      <c r="Z59" s="6">
        <v>48.3</v>
      </c>
      <c r="AA59" s="6">
        <v>48</v>
      </c>
      <c r="AB59" s="56">
        <f t="shared" si="8"/>
        <v>48.15</v>
      </c>
      <c r="AC59" s="6">
        <v>49</v>
      </c>
      <c r="AD59" s="6">
        <v>48.2</v>
      </c>
      <c r="AE59" s="56">
        <f t="shared" si="10"/>
        <v>48.6</v>
      </c>
      <c r="AF59" s="14" t="s">
        <v>469</v>
      </c>
      <c r="AG59" s="14" t="s">
        <v>470</v>
      </c>
      <c r="AH59" s="14" t="s">
        <v>471</v>
      </c>
      <c r="AI59" s="14" t="s">
        <v>472</v>
      </c>
      <c r="AJ59" s="14" t="s">
        <v>473</v>
      </c>
      <c r="AK59" s="14" t="s">
        <v>474</v>
      </c>
      <c r="AL59" s="20" t="s">
        <v>475</v>
      </c>
      <c r="AM59" s="11" t="s">
        <v>469</v>
      </c>
      <c r="AN59" s="11" t="s">
        <v>474</v>
      </c>
      <c r="AP59" s="1" t="s">
        <v>470</v>
      </c>
      <c r="AQ59" s="1" t="s">
        <v>471</v>
      </c>
      <c r="AR59" s="6">
        <v>5</v>
      </c>
      <c r="AS59" s="6" t="s">
        <v>472</v>
      </c>
      <c r="AT59" s="6" t="s">
        <v>473</v>
      </c>
      <c r="AU59" s="6">
        <v>5</v>
      </c>
      <c r="AV59" s="36"/>
      <c r="AW59" s="36"/>
      <c r="AX59" s="36"/>
      <c r="AY59" s="36"/>
      <c r="AZ59" s="36"/>
      <c r="BB59" s="53" t="s">
        <v>476</v>
      </c>
      <c r="BC59" s="24" t="str">
        <f t="shared" si="4"/>
        <v>Not Obese</v>
      </c>
      <c r="BD59" s="29"/>
      <c r="BE59" s="1" t="s">
        <v>477</v>
      </c>
      <c r="BG59" s="14"/>
    </row>
    <row r="60" spans="1:69" ht="60" customHeight="1">
      <c r="A60" s="29" t="s">
        <v>478</v>
      </c>
      <c r="B60" s="8">
        <v>45503</v>
      </c>
      <c r="C60" s="1" t="s">
        <v>117</v>
      </c>
      <c r="D60" s="6">
        <v>21</v>
      </c>
      <c r="G60" s="6" t="s">
        <v>85</v>
      </c>
      <c r="H60" s="33" t="str">
        <f t="shared" si="11"/>
        <v>Yes</v>
      </c>
      <c r="I60" s="33">
        <v>65.3</v>
      </c>
      <c r="J60" s="6">
        <v>36.6</v>
      </c>
      <c r="K60" s="6">
        <v>7.5</v>
      </c>
      <c r="L60" s="6">
        <v>1322</v>
      </c>
      <c r="M60" s="6">
        <v>23</v>
      </c>
      <c r="N60" s="6">
        <v>23.1</v>
      </c>
      <c r="O60" s="6">
        <v>17</v>
      </c>
      <c r="P60" s="6">
        <v>35.9</v>
      </c>
      <c r="Q60" s="6">
        <v>30.6</v>
      </c>
      <c r="R60" s="6">
        <v>48.8</v>
      </c>
      <c r="S60" s="6">
        <v>27.4</v>
      </c>
      <c r="T60" s="6">
        <v>42.3</v>
      </c>
      <c r="U60" s="6">
        <v>24.9</v>
      </c>
      <c r="V60" s="6">
        <v>60</v>
      </c>
      <c r="W60" s="6">
        <v>42.4</v>
      </c>
      <c r="X60" s="6">
        <v>42</v>
      </c>
      <c r="Y60" s="56">
        <f t="shared" si="9"/>
        <v>42.2</v>
      </c>
      <c r="Z60" s="6">
        <v>46</v>
      </c>
      <c r="AA60" s="6">
        <v>45</v>
      </c>
      <c r="AB60" s="56">
        <f t="shared" si="8"/>
        <v>45.5</v>
      </c>
      <c r="AC60" s="6">
        <v>40.700000000000003</v>
      </c>
      <c r="AD60" s="6">
        <v>40.4</v>
      </c>
      <c r="AE60" s="56">
        <f t="shared" si="10"/>
        <v>40.549999999999997</v>
      </c>
      <c r="AF60" s="14" t="s">
        <v>479</v>
      </c>
      <c r="AG60" s="14" t="s">
        <v>480</v>
      </c>
      <c r="AH60" s="14" t="s">
        <v>481</v>
      </c>
      <c r="AI60" s="14" t="s">
        <v>482</v>
      </c>
      <c r="AJ60" s="14" t="s">
        <v>483</v>
      </c>
      <c r="AK60" s="14" t="s">
        <v>484</v>
      </c>
      <c r="AL60" s="20" t="s">
        <v>485</v>
      </c>
      <c r="AM60" s="11" t="s">
        <v>486</v>
      </c>
      <c r="AN60" s="11" t="s">
        <v>487</v>
      </c>
      <c r="AP60" s="1" t="s">
        <v>480</v>
      </c>
      <c r="AQ60" s="1" t="s">
        <v>481</v>
      </c>
      <c r="AR60" s="6">
        <v>5</v>
      </c>
      <c r="AS60" s="6" t="s">
        <v>482</v>
      </c>
      <c r="AT60" s="6" t="s">
        <v>483</v>
      </c>
      <c r="AU60" s="6">
        <v>5</v>
      </c>
      <c r="AV60" s="36"/>
      <c r="AW60" s="36"/>
      <c r="AX60" s="36"/>
      <c r="AY60" s="36"/>
      <c r="AZ60" s="36"/>
      <c r="BC60" s="24" t="str">
        <f t="shared" si="4"/>
        <v>Not Obese</v>
      </c>
      <c r="BD60" s="29"/>
      <c r="BE60" s="1" t="s">
        <v>488</v>
      </c>
    </row>
    <row r="61" spans="1:69" ht="159.94999999999999" customHeight="1">
      <c r="A61" s="29" t="s">
        <v>489</v>
      </c>
      <c r="B61" s="8">
        <v>45503</v>
      </c>
      <c r="C61" s="1" t="s">
        <v>62</v>
      </c>
      <c r="D61" s="148">
        <v>32</v>
      </c>
      <c r="E61" s="148">
        <v>32</v>
      </c>
      <c r="F61" s="148">
        <v>33</v>
      </c>
      <c r="G61" s="6" t="s">
        <v>63</v>
      </c>
      <c r="H61" s="33" t="str">
        <f t="shared" si="11"/>
        <v>Yes</v>
      </c>
      <c r="I61" s="33">
        <v>67.900000000000006</v>
      </c>
      <c r="J61" s="6">
        <v>27.5</v>
      </c>
      <c r="K61" s="6">
        <v>10</v>
      </c>
      <c r="L61" s="6">
        <v>1537</v>
      </c>
      <c r="M61" s="6">
        <v>28.8</v>
      </c>
      <c r="N61" s="6">
        <v>35.200000000000003</v>
      </c>
      <c r="O61" s="6">
        <v>21.5</v>
      </c>
      <c r="P61" s="6">
        <v>46.3</v>
      </c>
      <c r="Q61" s="6">
        <v>18.600000000000001</v>
      </c>
      <c r="R61" s="6">
        <v>24.9</v>
      </c>
      <c r="S61" s="6">
        <v>16.5</v>
      </c>
      <c r="T61" s="6">
        <v>25.2</v>
      </c>
      <c r="U61" s="6">
        <v>23.2</v>
      </c>
      <c r="V61" s="6">
        <v>54</v>
      </c>
      <c r="W61" s="6">
        <v>39.4</v>
      </c>
      <c r="X61" s="6">
        <v>38.9</v>
      </c>
      <c r="Y61" s="56">
        <f t="shared" si="9"/>
        <v>39.15</v>
      </c>
      <c r="Z61" s="6">
        <v>47.5</v>
      </c>
      <c r="AA61" s="6">
        <v>46.6</v>
      </c>
      <c r="AB61" s="56">
        <f t="shared" si="8"/>
        <v>47.05</v>
      </c>
      <c r="AC61" s="6">
        <v>46.9</v>
      </c>
      <c r="AD61" s="6">
        <v>46.6</v>
      </c>
      <c r="AE61" s="56">
        <f t="shared" si="10"/>
        <v>46.75</v>
      </c>
      <c r="AF61" s="14" t="s">
        <v>490</v>
      </c>
      <c r="AG61" s="14" t="s">
        <v>491</v>
      </c>
      <c r="AH61" s="14" t="s">
        <v>492</v>
      </c>
      <c r="AI61" s="14" t="s">
        <v>493</v>
      </c>
      <c r="AJ61" s="14" t="s">
        <v>494</v>
      </c>
      <c r="AK61" s="14" t="s">
        <v>495</v>
      </c>
      <c r="AL61" s="1" t="s">
        <v>496</v>
      </c>
      <c r="AM61" s="11" t="s">
        <v>497</v>
      </c>
      <c r="AN61" s="11" t="s">
        <v>495</v>
      </c>
      <c r="AP61" s="1" t="s">
        <v>491</v>
      </c>
      <c r="AQ61" s="1" t="s">
        <v>498</v>
      </c>
      <c r="AR61" s="6">
        <v>6</v>
      </c>
      <c r="AS61" s="6" t="s">
        <v>493</v>
      </c>
      <c r="AT61" s="6" t="s">
        <v>494</v>
      </c>
      <c r="AU61" s="6">
        <v>5</v>
      </c>
      <c r="AV61" s="36"/>
      <c r="AW61" s="36"/>
      <c r="AX61" s="36"/>
      <c r="AY61" s="26"/>
      <c r="AZ61" s="36"/>
      <c r="BB61" s="52" t="s">
        <v>499</v>
      </c>
      <c r="BC61" s="24" t="str">
        <f t="shared" si="4"/>
        <v>Not Obese</v>
      </c>
      <c r="BD61" s="29"/>
      <c r="BE61" s="1" t="s">
        <v>500</v>
      </c>
    </row>
    <row r="62" spans="1:69" ht="120" customHeight="1">
      <c r="A62" s="29" t="s">
        <v>501</v>
      </c>
      <c r="B62" s="8">
        <v>45503</v>
      </c>
      <c r="C62" s="1" t="s">
        <v>84</v>
      </c>
      <c r="D62" s="148">
        <v>30</v>
      </c>
      <c r="E62" s="147"/>
      <c r="F62" s="147"/>
      <c r="G62" s="6" t="s">
        <v>63</v>
      </c>
      <c r="H62" s="33" t="str">
        <f t="shared" si="11"/>
        <v>Yes</v>
      </c>
      <c r="I62" s="33">
        <v>92.5</v>
      </c>
      <c r="J62" s="6">
        <v>32.4</v>
      </c>
      <c r="K62" s="6">
        <v>14</v>
      </c>
      <c r="L62" s="6">
        <v>1910</v>
      </c>
      <c r="M62" s="6">
        <v>28.9</v>
      </c>
      <c r="N62" s="6">
        <v>34.1</v>
      </c>
      <c r="O62" s="6">
        <v>20.2</v>
      </c>
      <c r="P62" s="6">
        <v>46.3</v>
      </c>
      <c r="Q62" s="6">
        <v>22.4</v>
      </c>
      <c r="R62" s="6">
        <v>31.9</v>
      </c>
      <c r="S62" s="6">
        <v>20.399999999999999</v>
      </c>
      <c r="T62" s="6">
        <v>32.4</v>
      </c>
      <c r="U62" s="6">
        <v>27.6</v>
      </c>
      <c r="V62" s="6">
        <v>57</v>
      </c>
      <c r="W62" s="6">
        <v>46.5</v>
      </c>
      <c r="X62" s="6">
        <v>45.9</v>
      </c>
      <c r="Y62" s="56">
        <f t="shared" si="9"/>
        <v>46.2</v>
      </c>
      <c r="Z62" s="6">
        <v>52.9</v>
      </c>
      <c r="AA62" s="6">
        <v>52</v>
      </c>
      <c r="AB62" s="56">
        <f t="shared" si="8"/>
        <v>52.45</v>
      </c>
      <c r="AC62" s="6">
        <v>50</v>
      </c>
      <c r="AD62" s="6">
        <v>49.5</v>
      </c>
      <c r="AE62" s="56">
        <f t="shared" si="10"/>
        <v>49.75</v>
      </c>
      <c r="AF62" s="14" t="s">
        <v>502</v>
      </c>
      <c r="AG62" s="14" t="s">
        <v>471</v>
      </c>
      <c r="AH62" s="14" t="s">
        <v>503</v>
      </c>
      <c r="AI62" s="14" t="s">
        <v>504</v>
      </c>
      <c r="AJ62" s="14" t="s">
        <v>505</v>
      </c>
      <c r="AK62" s="14" t="s">
        <v>506</v>
      </c>
      <c r="AL62" s="20" t="s">
        <v>507</v>
      </c>
      <c r="AM62" s="11" t="s">
        <v>508</v>
      </c>
      <c r="AN62" s="11" t="s">
        <v>509</v>
      </c>
      <c r="AO62" s="1" t="s">
        <v>510</v>
      </c>
      <c r="AP62" s="1" t="s">
        <v>471</v>
      </c>
      <c r="AQ62" s="1" t="s">
        <v>503</v>
      </c>
      <c r="AR62" s="6">
        <v>5</v>
      </c>
      <c r="AS62" s="6" t="s">
        <v>504</v>
      </c>
      <c r="AT62" s="6" t="s">
        <v>505</v>
      </c>
      <c r="AU62" s="6">
        <v>5</v>
      </c>
      <c r="AV62" s="36"/>
      <c r="AW62" s="36"/>
      <c r="AX62" s="36"/>
      <c r="AY62" s="36"/>
      <c r="AZ62" s="36"/>
      <c r="BB62" s="52" t="s">
        <v>511</v>
      </c>
      <c r="BC62" s="24" t="str">
        <f t="shared" si="4"/>
        <v>Obese</v>
      </c>
      <c r="BD62" s="29"/>
      <c r="BE62" s="1" t="s">
        <v>512</v>
      </c>
    </row>
    <row r="63" spans="1:69" ht="60" customHeight="1">
      <c r="A63" s="29" t="s">
        <v>513</v>
      </c>
      <c r="B63" s="8">
        <v>45503</v>
      </c>
      <c r="C63" s="1" t="s">
        <v>75</v>
      </c>
      <c r="D63" s="6">
        <v>28</v>
      </c>
      <c r="G63" s="6" t="s">
        <v>85</v>
      </c>
      <c r="H63" s="33" t="str">
        <f t="shared" si="11"/>
        <v>Yes</v>
      </c>
      <c r="I63" s="33">
        <v>60.5</v>
      </c>
      <c r="J63" s="6">
        <v>33.6</v>
      </c>
      <c r="K63" s="6">
        <v>7.5</v>
      </c>
      <c r="L63" s="6">
        <v>1262</v>
      </c>
      <c r="M63" s="6">
        <v>24</v>
      </c>
      <c r="N63" s="6">
        <v>25.3</v>
      </c>
      <c r="O63" s="6">
        <v>18</v>
      </c>
      <c r="P63" s="6">
        <v>36.9</v>
      </c>
      <c r="Q63" s="6">
        <v>29.1</v>
      </c>
      <c r="R63" s="6">
        <v>44.7</v>
      </c>
      <c r="S63" s="6">
        <v>25.4</v>
      </c>
      <c r="T63" s="6">
        <v>39</v>
      </c>
      <c r="U63" s="6">
        <v>24.9</v>
      </c>
      <c r="V63" s="6">
        <v>56</v>
      </c>
      <c r="W63" s="6">
        <v>36.5</v>
      </c>
      <c r="X63" s="6">
        <v>37.200000000000003</v>
      </c>
      <c r="Y63" s="56">
        <f t="shared" si="9"/>
        <v>36.85</v>
      </c>
      <c r="Z63" s="6">
        <v>44.6</v>
      </c>
      <c r="AA63" s="6">
        <v>44.7</v>
      </c>
      <c r="AB63" s="56">
        <f t="shared" si="8"/>
        <v>44.650000000000006</v>
      </c>
      <c r="AC63" s="6">
        <v>43.4</v>
      </c>
      <c r="AD63" s="6">
        <v>43.7</v>
      </c>
      <c r="AE63" s="56">
        <f t="shared" si="10"/>
        <v>43.55</v>
      </c>
      <c r="AF63" s="14" t="s">
        <v>514</v>
      </c>
      <c r="AG63" s="14" t="s">
        <v>87</v>
      </c>
      <c r="AH63" s="14" t="s">
        <v>202</v>
      </c>
      <c r="AI63" s="14" t="s">
        <v>203</v>
      </c>
      <c r="AJ63" s="14" t="s">
        <v>89</v>
      </c>
      <c r="AK63" s="14" t="s">
        <v>204</v>
      </c>
      <c r="AL63" s="20" t="s">
        <v>515</v>
      </c>
      <c r="AM63" s="11" t="s">
        <v>514</v>
      </c>
      <c r="AN63" s="11" t="s">
        <v>204</v>
      </c>
      <c r="AO63" s="20" t="s">
        <v>516</v>
      </c>
      <c r="AP63" s="1" t="s">
        <v>87</v>
      </c>
      <c r="AQ63" s="1" t="s">
        <v>202</v>
      </c>
      <c r="AR63" s="6">
        <v>4</v>
      </c>
      <c r="AS63" s="6" t="s">
        <v>203</v>
      </c>
      <c r="AT63" s="6" t="s">
        <v>89</v>
      </c>
      <c r="AU63" s="6">
        <v>5</v>
      </c>
      <c r="AV63" s="36"/>
      <c r="AW63" s="36"/>
      <c r="AX63" s="36"/>
      <c r="AY63" s="36"/>
      <c r="AZ63" s="36"/>
      <c r="BB63" s="24" t="s">
        <v>517</v>
      </c>
      <c r="BC63" s="24" t="str">
        <f t="shared" si="4"/>
        <v>Not Obese</v>
      </c>
      <c r="BD63" s="29"/>
      <c r="BE63" s="1" t="s">
        <v>518</v>
      </c>
    </row>
    <row r="64" spans="1:69" ht="99.95" customHeight="1">
      <c r="A64" s="29" t="s">
        <v>519</v>
      </c>
      <c r="B64" s="8">
        <v>45506</v>
      </c>
      <c r="C64" s="1" t="s">
        <v>117</v>
      </c>
      <c r="D64" s="148">
        <v>23</v>
      </c>
      <c r="E64" s="148">
        <v>24</v>
      </c>
      <c r="F64" s="148">
        <v>24</v>
      </c>
      <c r="G64" s="6" t="s">
        <v>63</v>
      </c>
      <c r="H64" s="33" t="str">
        <f t="shared" si="11"/>
        <v>No</v>
      </c>
      <c r="I64" s="33">
        <v>68.8</v>
      </c>
      <c r="J64" s="6">
        <v>16.100000000000001</v>
      </c>
      <c r="K64" s="6">
        <v>8</v>
      </c>
      <c r="L64" s="6">
        <v>1619</v>
      </c>
      <c r="M64" s="6">
        <v>35</v>
      </c>
      <c r="N64" s="6">
        <v>38.799999999999997</v>
      </c>
      <c r="O64" s="6">
        <v>29.4</v>
      </c>
      <c r="P64" s="6">
        <v>52.2</v>
      </c>
      <c r="Q64" s="6">
        <v>11.6</v>
      </c>
      <c r="R64" s="6">
        <v>14.7</v>
      </c>
      <c r="S64" s="6">
        <v>10.3</v>
      </c>
      <c r="T64" s="6">
        <v>14.1</v>
      </c>
      <c r="U64" s="6">
        <v>23.3</v>
      </c>
      <c r="V64" s="6">
        <v>40</v>
      </c>
      <c r="W64" s="6">
        <v>38.5</v>
      </c>
      <c r="X64" s="6">
        <v>37.9</v>
      </c>
      <c r="Y64" s="56">
        <f t="shared" si="9"/>
        <v>38.200000000000003</v>
      </c>
      <c r="Z64" s="6">
        <v>47</v>
      </c>
      <c r="AA64" s="6">
        <v>47.7</v>
      </c>
      <c r="AB64" s="56">
        <f t="shared" si="8"/>
        <v>47.35</v>
      </c>
      <c r="AC64" s="6">
        <v>47.2</v>
      </c>
      <c r="AD64" s="6">
        <v>47</v>
      </c>
      <c r="AE64" s="56">
        <f t="shared" si="10"/>
        <v>47.1</v>
      </c>
      <c r="AF64" s="14" t="s">
        <v>520</v>
      </c>
      <c r="AG64" s="14" t="s">
        <v>521</v>
      </c>
      <c r="AH64" s="14" t="s">
        <v>522</v>
      </c>
      <c r="AI64" s="14" t="s">
        <v>523</v>
      </c>
      <c r="AJ64" s="14" t="s">
        <v>524</v>
      </c>
      <c r="AK64" s="14" t="s">
        <v>525</v>
      </c>
      <c r="AL64" s="20" t="s">
        <v>526</v>
      </c>
      <c r="AM64" s="11" t="s">
        <v>527</v>
      </c>
      <c r="AN64" s="11" t="s">
        <v>525</v>
      </c>
      <c r="AP64" s="1" t="s">
        <v>521</v>
      </c>
      <c r="AQ64" s="1" t="s">
        <v>522</v>
      </c>
      <c r="AR64" s="6">
        <v>7</v>
      </c>
      <c r="AS64" s="6" t="s">
        <v>523</v>
      </c>
      <c r="AT64" s="6" t="s">
        <v>524</v>
      </c>
      <c r="AU64" s="6">
        <v>5</v>
      </c>
      <c r="AV64" s="36"/>
      <c r="AW64" s="36"/>
      <c r="AX64" s="36"/>
      <c r="AY64" s="36"/>
      <c r="AZ64" s="36"/>
      <c r="BC64" s="24" t="str">
        <f t="shared" si="4"/>
        <v>Not Obese</v>
      </c>
      <c r="BD64" s="29"/>
      <c r="BE64" s="1" t="s">
        <v>528</v>
      </c>
    </row>
    <row r="65" spans="1:57" ht="99.95" customHeight="1">
      <c r="A65" s="29" t="s">
        <v>529</v>
      </c>
      <c r="B65" s="8">
        <v>45506</v>
      </c>
      <c r="C65" s="1" t="s">
        <v>62</v>
      </c>
      <c r="D65" s="54">
        <v>26</v>
      </c>
      <c r="E65" s="54">
        <v>28</v>
      </c>
      <c r="F65" s="54">
        <v>31</v>
      </c>
      <c r="G65" s="6" t="s">
        <v>85</v>
      </c>
      <c r="H65" s="33" t="str">
        <f t="shared" si="11"/>
        <v>Yes</v>
      </c>
      <c r="I65" s="33">
        <v>63.3</v>
      </c>
      <c r="J65" s="6">
        <v>32.9</v>
      </c>
      <c r="K65" s="6">
        <v>5</v>
      </c>
      <c r="L65" s="6">
        <v>1311</v>
      </c>
      <c r="M65" s="6">
        <v>24.8</v>
      </c>
      <c r="N65" s="6">
        <v>25.7</v>
      </c>
      <c r="O65" s="6">
        <v>18.8</v>
      </c>
      <c r="P65" s="6">
        <v>37.700000000000003</v>
      </c>
      <c r="Q65" s="6">
        <v>27.2</v>
      </c>
      <c r="R65" s="6">
        <v>44.2</v>
      </c>
      <c r="S65" s="6">
        <v>23.9</v>
      </c>
      <c r="T65" s="6">
        <v>37.6</v>
      </c>
      <c r="U65" s="6">
        <v>22.7</v>
      </c>
      <c r="V65" s="6">
        <v>54</v>
      </c>
      <c r="W65" s="6">
        <v>41.3</v>
      </c>
      <c r="X65" s="6">
        <v>41.8</v>
      </c>
      <c r="Y65" s="56">
        <f t="shared" si="9"/>
        <v>41.55</v>
      </c>
      <c r="Z65" s="6">
        <v>50</v>
      </c>
      <c r="AA65" s="6">
        <v>50</v>
      </c>
      <c r="AB65" s="56">
        <f t="shared" si="8"/>
        <v>50</v>
      </c>
      <c r="AC65" s="6">
        <v>45.2</v>
      </c>
      <c r="AD65" s="6">
        <v>45.5</v>
      </c>
      <c r="AE65" s="56">
        <f t="shared" si="10"/>
        <v>45.35</v>
      </c>
      <c r="AF65" s="14" t="s">
        <v>530</v>
      </c>
      <c r="AG65" s="14" t="s">
        <v>531</v>
      </c>
      <c r="AH65" s="14" t="s">
        <v>532</v>
      </c>
      <c r="AI65" s="14" t="s">
        <v>533</v>
      </c>
      <c r="AJ65" s="14" t="s">
        <v>534</v>
      </c>
      <c r="AK65" s="14" t="s">
        <v>535</v>
      </c>
      <c r="AL65" s="1" t="s">
        <v>536</v>
      </c>
      <c r="AM65" s="11" t="s">
        <v>530</v>
      </c>
      <c r="AN65" s="11" t="s">
        <v>535</v>
      </c>
      <c r="AP65" s="1" t="s">
        <v>537</v>
      </c>
      <c r="AQ65" s="1" t="s">
        <v>532</v>
      </c>
      <c r="AR65" s="6">
        <v>5</v>
      </c>
      <c r="AS65" s="6" t="s">
        <v>533</v>
      </c>
      <c r="AT65" s="6" t="s">
        <v>534</v>
      </c>
      <c r="AU65" s="6">
        <v>5</v>
      </c>
      <c r="AV65" s="36"/>
      <c r="AW65" s="36"/>
      <c r="AX65" s="36"/>
      <c r="AY65" s="36"/>
      <c r="AZ65" s="36"/>
      <c r="BB65" s="52" t="s">
        <v>538</v>
      </c>
      <c r="BC65" s="24" t="str">
        <f t="shared" si="4"/>
        <v>Not Obese</v>
      </c>
      <c r="BD65" s="29"/>
      <c r="BE65" s="1" t="s">
        <v>539</v>
      </c>
    </row>
    <row r="66" spans="1:57" ht="80.099999999999994" customHeight="1">
      <c r="A66" s="29" t="s">
        <v>540</v>
      </c>
      <c r="B66" s="8">
        <v>45506</v>
      </c>
      <c r="C66" s="1" t="s">
        <v>84</v>
      </c>
      <c r="D66" s="6">
        <v>28</v>
      </c>
      <c r="G66" s="6" t="s">
        <v>85</v>
      </c>
      <c r="H66" s="33" t="str">
        <f t="shared" si="11"/>
        <v>No</v>
      </c>
      <c r="I66" s="33">
        <v>46</v>
      </c>
      <c r="J66" s="6">
        <v>30</v>
      </c>
      <c r="K66" s="6">
        <v>3.5</v>
      </c>
      <c r="L66" s="6">
        <v>1050</v>
      </c>
      <c r="M66" s="6">
        <v>24.1</v>
      </c>
      <c r="N66" s="6">
        <v>28.6</v>
      </c>
      <c r="O66" s="6">
        <v>19.3</v>
      </c>
      <c r="P66" s="6">
        <v>35.700000000000003</v>
      </c>
      <c r="Q66" s="6">
        <v>24.1</v>
      </c>
      <c r="R66" s="6">
        <v>41.1</v>
      </c>
      <c r="S66" s="6">
        <v>20.9</v>
      </c>
      <c r="T66" s="6">
        <v>34.299999999999997</v>
      </c>
      <c r="U66" s="6">
        <v>20.399999999999999</v>
      </c>
      <c r="V66" s="6">
        <v>40</v>
      </c>
      <c r="W66" s="6">
        <v>37.9</v>
      </c>
      <c r="X66" s="6">
        <v>37.4</v>
      </c>
      <c r="Y66" s="56">
        <f t="shared" si="9"/>
        <v>37.65</v>
      </c>
      <c r="Z66" s="6">
        <v>44.8</v>
      </c>
      <c r="AA66" s="6">
        <v>45.8</v>
      </c>
      <c r="AB66" s="56">
        <f t="shared" si="8"/>
        <v>45.3</v>
      </c>
      <c r="AC66" s="6">
        <v>39.200000000000003</v>
      </c>
      <c r="AD66" s="6">
        <v>38.5</v>
      </c>
      <c r="AE66" s="56">
        <f t="shared" si="10"/>
        <v>38.85</v>
      </c>
      <c r="AF66" s="14" t="s">
        <v>541</v>
      </c>
      <c r="AG66" s="14" t="s">
        <v>542</v>
      </c>
      <c r="AH66" s="14" t="s">
        <v>543</v>
      </c>
      <c r="AI66" s="14" t="s">
        <v>544</v>
      </c>
      <c r="AJ66" s="14" t="s">
        <v>545</v>
      </c>
      <c r="AK66" s="14" t="s">
        <v>546</v>
      </c>
      <c r="AL66" s="20" t="s">
        <v>547</v>
      </c>
      <c r="AM66" s="11" t="s">
        <v>548</v>
      </c>
      <c r="AN66" s="11" t="s">
        <v>546</v>
      </c>
      <c r="AP66" s="1" t="s">
        <v>542</v>
      </c>
      <c r="AQ66" s="1" t="s">
        <v>543</v>
      </c>
      <c r="AR66" s="6">
        <v>5</v>
      </c>
      <c r="AS66" s="6" t="s">
        <v>544</v>
      </c>
      <c r="AT66" s="6" t="s">
        <v>545</v>
      </c>
      <c r="AU66" s="6">
        <v>5</v>
      </c>
      <c r="AV66" s="36"/>
      <c r="AW66" s="36"/>
      <c r="AX66" s="36"/>
      <c r="AY66" s="36"/>
      <c r="AZ66" s="36"/>
      <c r="BB66" s="24" t="s">
        <v>549</v>
      </c>
      <c r="BC66" s="24" t="str">
        <f t="shared" si="4"/>
        <v>Not Obese</v>
      </c>
      <c r="BD66" s="29"/>
      <c r="BE66" s="1" t="s">
        <v>550</v>
      </c>
    </row>
    <row r="67" spans="1:57" ht="80.099999999999994" customHeight="1">
      <c r="A67" s="29" t="s">
        <v>551</v>
      </c>
      <c r="B67" s="8">
        <v>45506</v>
      </c>
      <c r="C67" s="1" t="s">
        <v>75</v>
      </c>
      <c r="D67" s="6">
        <v>28</v>
      </c>
      <c r="G67" s="6" t="s">
        <v>63</v>
      </c>
      <c r="H67" s="33" t="str">
        <f t="shared" ref="H67:H71" si="12">IF(OR(AND(G67="Male",J67&gt;=25),AND(G67="Female",J67&gt;=32)),"Yes","No")</f>
        <v>No</v>
      </c>
      <c r="I67" s="33">
        <v>67.599999999999994</v>
      </c>
      <c r="J67" s="6">
        <v>24.3</v>
      </c>
      <c r="K67" s="6">
        <v>10.5</v>
      </c>
      <c r="L67" s="6">
        <v>1549</v>
      </c>
      <c r="M67" s="6">
        <v>30.2</v>
      </c>
      <c r="N67" s="6">
        <v>36.1</v>
      </c>
      <c r="O67" s="6">
        <v>23.5</v>
      </c>
      <c r="P67" s="6">
        <v>47.6</v>
      </c>
      <c r="Q67" s="6">
        <v>16.8</v>
      </c>
      <c r="R67" s="6">
        <v>22.3</v>
      </c>
      <c r="S67" s="6">
        <v>15</v>
      </c>
      <c r="T67" s="6">
        <v>22.3</v>
      </c>
      <c r="U67" s="6">
        <v>24.2</v>
      </c>
      <c r="V67" s="6">
        <v>50</v>
      </c>
      <c r="W67" s="6">
        <v>38.6</v>
      </c>
      <c r="X67" s="6">
        <v>37.5</v>
      </c>
      <c r="Y67" s="56">
        <f t="shared" si="9"/>
        <v>38.049999999999997</v>
      </c>
      <c r="Z67" s="6">
        <v>46.6</v>
      </c>
      <c r="AA67" s="6">
        <v>45.7</v>
      </c>
      <c r="AB67" s="56">
        <f t="shared" si="8"/>
        <v>46.150000000000006</v>
      </c>
      <c r="AC67" s="6">
        <v>44.2</v>
      </c>
      <c r="AD67" s="6">
        <v>43.8</v>
      </c>
      <c r="AE67" s="56">
        <f t="shared" si="10"/>
        <v>44</v>
      </c>
      <c r="AF67" s="14" t="s">
        <v>497</v>
      </c>
      <c r="AG67" s="14" t="s">
        <v>491</v>
      </c>
      <c r="AH67" s="14" t="s">
        <v>552</v>
      </c>
      <c r="AI67" s="14" t="s">
        <v>553</v>
      </c>
      <c r="AJ67" s="14" t="s">
        <v>554</v>
      </c>
      <c r="AK67" s="14" t="s">
        <v>555</v>
      </c>
      <c r="AL67" s="20" t="s">
        <v>556</v>
      </c>
      <c r="AM67" s="11" t="s">
        <v>548</v>
      </c>
      <c r="AN67" s="11" t="s">
        <v>555</v>
      </c>
      <c r="AP67" s="1" t="s">
        <v>491</v>
      </c>
      <c r="AQ67" s="1" t="s">
        <v>552</v>
      </c>
      <c r="AR67" s="6">
        <v>5</v>
      </c>
      <c r="AS67" s="6" t="s">
        <v>553</v>
      </c>
      <c r="AT67" s="6" t="s">
        <v>554</v>
      </c>
      <c r="AU67" s="6">
        <v>5</v>
      </c>
      <c r="AV67" s="36"/>
      <c r="AW67" s="36"/>
      <c r="AX67" s="36"/>
      <c r="AY67" s="36"/>
      <c r="AZ67" s="36"/>
      <c r="BB67" s="24" t="s">
        <v>557</v>
      </c>
      <c r="BC67" s="24" t="str">
        <f t="shared" si="4"/>
        <v>Not Obese</v>
      </c>
      <c r="BD67" s="29"/>
      <c r="BE67" s="1" t="s">
        <v>558</v>
      </c>
    </row>
    <row r="68" spans="1:57" ht="159.94999999999999" customHeight="1">
      <c r="A68" s="29" t="s">
        <v>559</v>
      </c>
      <c r="B68" s="8">
        <v>45507</v>
      </c>
      <c r="C68" s="1" t="s">
        <v>117</v>
      </c>
      <c r="D68" s="6">
        <v>24</v>
      </c>
      <c r="G68" s="6" t="s">
        <v>85</v>
      </c>
      <c r="H68" s="33" t="str">
        <f t="shared" si="12"/>
        <v>Yes</v>
      </c>
      <c r="I68" s="33">
        <v>82.7</v>
      </c>
      <c r="J68" s="6">
        <v>38.6</v>
      </c>
      <c r="K68" s="6">
        <v>12.5</v>
      </c>
      <c r="L68" s="6">
        <v>1576</v>
      </c>
      <c r="M68" s="6">
        <v>23.2</v>
      </c>
      <c r="N68" s="6">
        <v>19.5</v>
      </c>
      <c r="O68" s="6">
        <v>15.9</v>
      </c>
      <c r="P68" s="6">
        <v>37</v>
      </c>
      <c r="Q68" s="6">
        <v>35.4</v>
      </c>
      <c r="R68" s="6">
        <v>51</v>
      </c>
      <c r="S68" s="6">
        <v>31.3</v>
      </c>
      <c r="T68" s="6">
        <v>47</v>
      </c>
      <c r="U68" s="6">
        <v>30</v>
      </c>
      <c r="V68" s="6">
        <v>66</v>
      </c>
      <c r="W68" s="6">
        <v>41.4</v>
      </c>
      <c r="X68" s="6">
        <v>41.9</v>
      </c>
      <c r="Y68" s="56">
        <f t="shared" si="9"/>
        <v>41.65</v>
      </c>
      <c r="Z68" s="6">
        <v>47.7</v>
      </c>
      <c r="AA68" s="6">
        <v>48.1</v>
      </c>
      <c r="AB68" s="56">
        <f t="shared" si="8"/>
        <v>47.900000000000006</v>
      </c>
      <c r="AC68" s="6">
        <v>45.1</v>
      </c>
      <c r="AD68" s="6">
        <v>48.9</v>
      </c>
      <c r="AE68" s="56">
        <f t="shared" si="10"/>
        <v>47</v>
      </c>
      <c r="AF68" s="14" t="s">
        <v>206</v>
      </c>
      <c r="AG68" s="14" t="s">
        <v>360</v>
      </c>
      <c r="AH68" s="14" t="s">
        <v>258</v>
      </c>
      <c r="AI68" s="14" t="s">
        <v>284</v>
      </c>
      <c r="AJ68" s="14" t="s">
        <v>110</v>
      </c>
      <c r="AK68" s="14" t="s">
        <v>459</v>
      </c>
      <c r="AL68" s="20" t="s">
        <v>560</v>
      </c>
      <c r="AM68" s="11" t="s">
        <v>257</v>
      </c>
      <c r="AN68" s="11" t="s">
        <v>459</v>
      </c>
      <c r="AP68" s="1" t="s">
        <v>360</v>
      </c>
      <c r="AQ68" s="1" t="s">
        <v>258</v>
      </c>
      <c r="AR68" s="6">
        <v>5</v>
      </c>
      <c r="AS68" s="6" t="s">
        <v>259</v>
      </c>
      <c r="AT68" s="6" t="s">
        <v>110</v>
      </c>
      <c r="AU68" s="6">
        <v>8</v>
      </c>
      <c r="AV68" s="36"/>
      <c r="AW68" s="36"/>
      <c r="AX68" s="36"/>
      <c r="AY68" s="36"/>
      <c r="AZ68" s="36"/>
      <c r="BC68" s="24" t="str">
        <f t="shared" ref="BC68:BC131" si="13">IF(AND(G68="Male", J68&gt;25, U68&gt;24.9), "Obese", IF(AND(G68="Female", J68&gt;32, U68&gt;24.9), "Obese", "Not Obese"))</f>
        <v>Obese</v>
      </c>
      <c r="BE68" s="1" t="s">
        <v>561</v>
      </c>
    </row>
    <row r="69" spans="1:57" ht="60" customHeight="1">
      <c r="A69" s="29" t="s">
        <v>562</v>
      </c>
      <c r="B69" s="8">
        <v>45507</v>
      </c>
      <c r="C69" s="1" t="s">
        <v>62</v>
      </c>
      <c r="D69" s="6">
        <v>19</v>
      </c>
      <c r="G69" s="6" t="s">
        <v>85</v>
      </c>
      <c r="H69" s="33" t="str">
        <f t="shared" si="12"/>
        <v>No</v>
      </c>
      <c r="I69" s="33">
        <v>65.5</v>
      </c>
      <c r="J69" s="6">
        <v>30</v>
      </c>
      <c r="K69" s="6">
        <v>6</v>
      </c>
      <c r="L69" s="6">
        <v>1364</v>
      </c>
      <c r="M69" s="6">
        <v>27</v>
      </c>
      <c r="N69" s="6">
        <v>27.7</v>
      </c>
      <c r="O69" s="6">
        <v>20.2</v>
      </c>
      <c r="P69" s="6">
        <v>40.700000000000003</v>
      </c>
      <c r="Q69" s="6">
        <v>27.2</v>
      </c>
      <c r="R69" s="6">
        <v>39.9</v>
      </c>
      <c r="S69" s="6">
        <v>22.9</v>
      </c>
      <c r="T69" s="6">
        <v>34.9</v>
      </c>
      <c r="U69" s="6">
        <v>24.7</v>
      </c>
      <c r="V69" s="6">
        <v>51</v>
      </c>
      <c r="W69" s="6">
        <v>38.1</v>
      </c>
      <c r="X69" s="6">
        <v>37.200000000000003</v>
      </c>
      <c r="Y69" s="56">
        <f t="shared" si="9"/>
        <v>37.650000000000006</v>
      </c>
      <c r="Z69" s="6">
        <v>47</v>
      </c>
      <c r="AA69" s="6">
        <v>47.7</v>
      </c>
      <c r="AB69" s="56">
        <f t="shared" si="8"/>
        <v>47.35</v>
      </c>
      <c r="AC69" s="6">
        <v>45.5</v>
      </c>
      <c r="AD69" s="6">
        <v>45</v>
      </c>
      <c r="AE69" s="56">
        <f t="shared" si="10"/>
        <v>45.25</v>
      </c>
      <c r="AF69" s="14" t="s">
        <v>86</v>
      </c>
      <c r="AG69" s="14" t="s">
        <v>137</v>
      </c>
      <c r="AH69" s="14" t="s">
        <v>433</v>
      </c>
      <c r="AI69" s="14" t="s">
        <v>223</v>
      </c>
      <c r="AJ69" s="14" t="s">
        <v>284</v>
      </c>
      <c r="AK69" s="14" t="s">
        <v>285</v>
      </c>
      <c r="AL69" s="20" t="s">
        <v>563</v>
      </c>
      <c r="AM69" s="11" t="s">
        <v>435</v>
      </c>
      <c r="AN69" s="11" t="s">
        <v>434</v>
      </c>
      <c r="AP69" s="1" t="s">
        <v>137</v>
      </c>
      <c r="AQ69" s="1" t="s">
        <v>433</v>
      </c>
      <c r="AR69" s="6">
        <v>5</v>
      </c>
      <c r="AS69" s="6" t="s">
        <v>223</v>
      </c>
      <c r="AT69" s="6" t="s">
        <v>284</v>
      </c>
      <c r="AU69" s="6">
        <v>5</v>
      </c>
      <c r="AV69" s="36"/>
      <c r="AW69" s="36"/>
      <c r="AX69" s="61"/>
      <c r="AY69" s="36"/>
      <c r="AZ69" s="36"/>
      <c r="BB69" s="24" t="s">
        <v>564</v>
      </c>
      <c r="BC69" s="24" t="str">
        <f t="shared" si="13"/>
        <v>Not Obese</v>
      </c>
      <c r="BE69" s="1" t="s">
        <v>565</v>
      </c>
    </row>
    <row r="70" spans="1:57" ht="99.95" customHeight="1">
      <c r="A70" s="29" t="s">
        <v>566</v>
      </c>
      <c r="B70" s="8">
        <v>45507</v>
      </c>
      <c r="C70" s="1" t="s">
        <v>84</v>
      </c>
      <c r="D70" s="6">
        <v>21</v>
      </c>
      <c r="G70" s="6" t="s">
        <v>85</v>
      </c>
      <c r="H70" s="33" t="str">
        <f t="shared" si="12"/>
        <v>Yes</v>
      </c>
      <c r="I70" s="33">
        <v>65.5</v>
      </c>
      <c r="J70" s="6">
        <v>36.6</v>
      </c>
      <c r="K70" s="6">
        <v>10</v>
      </c>
      <c r="L70" s="6">
        <v>1324</v>
      </c>
      <c r="M70" s="6">
        <v>22.8</v>
      </c>
      <c r="N70" s="6">
        <v>22.8</v>
      </c>
      <c r="O70" s="6">
        <v>16.3</v>
      </c>
      <c r="P70" s="6">
        <v>36.200000000000003</v>
      </c>
      <c r="Q70" s="6">
        <v>32.1</v>
      </c>
      <c r="R70" s="6">
        <v>47.7</v>
      </c>
      <c r="S70" s="6">
        <v>28.5</v>
      </c>
      <c r="T70" s="6">
        <v>41.7</v>
      </c>
      <c r="U70" s="6">
        <v>26.9</v>
      </c>
      <c r="V70" s="6">
        <v>67</v>
      </c>
      <c r="W70" s="6">
        <v>41.3</v>
      </c>
      <c r="X70" s="6">
        <v>42</v>
      </c>
      <c r="Y70" s="56">
        <f t="shared" si="9"/>
        <v>41.65</v>
      </c>
      <c r="Z70" s="6">
        <v>44.2</v>
      </c>
      <c r="AA70" s="6">
        <v>44</v>
      </c>
      <c r="AB70" s="56">
        <f t="shared" si="8"/>
        <v>44.1</v>
      </c>
      <c r="AC70" s="6">
        <v>41.5</v>
      </c>
      <c r="AD70" s="6">
        <v>40.299999999999997</v>
      </c>
      <c r="AE70" s="56">
        <f t="shared" si="10"/>
        <v>40.9</v>
      </c>
      <c r="AF70" s="14" t="s">
        <v>567</v>
      </c>
      <c r="AG70" s="14" t="s">
        <v>308</v>
      </c>
      <c r="AH70" s="14" t="s">
        <v>322</v>
      </c>
      <c r="AI70" s="14" t="s">
        <v>323</v>
      </c>
      <c r="AJ70" s="14" t="s">
        <v>325</v>
      </c>
      <c r="AK70" s="14" t="s">
        <v>568</v>
      </c>
      <c r="AL70" s="20" t="s">
        <v>569</v>
      </c>
      <c r="AM70" s="11" t="s">
        <v>567</v>
      </c>
      <c r="AN70" s="11" t="s">
        <v>568</v>
      </c>
      <c r="AO70" s="1" t="s">
        <v>570</v>
      </c>
      <c r="AP70" s="1" t="s">
        <v>308</v>
      </c>
      <c r="AQ70" s="1" t="s">
        <v>322</v>
      </c>
      <c r="AR70" s="6">
        <v>5</v>
      </c>
      <c r="AS70" s="6" t="s">
        <v>323</v>
      </c>
      <c r="AT70" s="6" t="s">
        <v>325</v>
      </c>
      <c r="AU70" s="6">
        <v>5</v>
      </c>
      <c r="AV70" s="36"/>
      <c r="AW70" s="36"/>
      <c r="AX70" s="36"/>
      <c r="AY70" s="36"/>
      <c r="AZ70" s="36"/>
      <c r="BC70" s="24" t="str">
        <f t="shared" si="13"/>
        <v>Obese</v>
      </c>
      <c r="BE70" s="1" t="s">
        <v>571</v>
      </c>
    </row>
    <row r="71" spans="1:57" ht="99.95" customHeight="1">
      <c r="A71" s="29" t="s">
        <v>572</v>
      </c>
      <c r="B71" s="8">
        <v>45507</v>
      </c>
      <c r="C71" s="1" t="s">
        <v>75</v>
      </c>
      <c r="D71" s="137">
        <v>21</v>
      </c>
      <c r="E71" s="137">
        <v>22</v>
      </c>
      <c r="F71" s="137">
        <v>26</v>
      </c>
      <c r="G71" s="6" t="s">
        <v>63</v>
      </c>
      <c r="H71" s="33" t="str">
        <f t="shared" si="12"/>
        <v>Yes</v>
      </c>
      <c r="I71" s="33">
        <v>76.7</v>
      </c>
      <c r="J71" s="6">
        <v>26</v>
      </c>
      <c r="K71" s="6">
        <v>12.5</v>
      </c>
      <c r="L71" s="6">
        <v>1691</v>
      </c>
      <c r="M71" s="6">
        <v>30.4</v>
      </c>
      <c r="N71" s="6">
        <v>35.799999999999997</v>
      </c>
      <c r="O71" s="6">
        <v>23.1</v>
      </c>
      <c r="P71" s="6">
        <v>47.7</v>
      </c>
      <c r="Q71" s="6">
        <v>18.100000000000001</v>
      </c>
      <c r="R71" s="6">
        <v>23.8</v>
      </c>
      <c r="S71" s="6">
        <v>16.399999999999999</v>
      </c>
      <c r="T71" s="6">
        <v>23.9</v>
      </c>
      <c r="U71" s="6">
        <v>26.2</v>
      </c>
      <c r="V71" s="6">
        <v>53</v>
      </c>
      <c r="W71" s="6">
        <v>39.4</v>
      </c>
      <c r="X71" s="6">
        <v>39.4</v>
      </c>
      <c r="Y71" s="56">
        <f t="shared" si="9"/>
        <v>39.4</v>
      </c>
      <c r="Z71" s="6">
        <v>50.5</v>
      </c>
      <c r="AA71" s="6">
        <v>49.3</v>
      </c>
      <c r="AB71" s="56">
        <f t="shared" si="8"/>
        <v>49.9</v>
      </c>
      <c r="AC71" s="6">
        <v>47.9</v>
      </c>
      <c r="AD71" s="6">
        <v>48</v>
      </c>
      <c r="AE71" s="56">
        <f t="shared" si="10"/>
        <v>47.95</v>
      </c>
      <c r="AF71" s="14" t="s">
        <v>334</v>
      </c>
      <c r="AG71" s="14" t="s">
        <v>307</v>
      </c>
      <c r="AH71" s="14" t="s">
        <v>130</v>
      </c>
      <c r="AI71" s="14" t="s">
        <v>131</v>
      </c>
      <c r="AJ71" s="14" t="s">
        <v>311</v>
      </c>
      <c r="AK71" s="14" t="s">
        <v>135</v>
      </c>
      <c r="AL71" s="20" t="s">
        <v>573</v>
      </c>
      <c r="AM71" s="11" t="s">
        <v>128</v>
      </c>
      <c r="AN71" s="11" t="s">
        <v>135</v>
      </c>
      <c r="AO71" s="1" t="s">
        <v>574</v>
      </c>
      <c r="AP71" s="1" t="s">
        <v>221</v>
      </c>
      <c r="AQ71" s="1" t="s">
        <v>130</v>
      </c>
      <c r="AR71" s="6">
        <v>5</v>
      </c>
      <c r="AS71" s="6" t="s">
        <v>131</v>
      </c>
      <c r="AT71" s="6" t="s">
        <v>311</v>
      </c>
      <c r="AU71" s="6">
        <v>5</v>
      </c>
      <c r="AV71" s="36"/>
      <c r="AW71" s="36"/>
      <c r="AX71" s="36"/>
      <c r="AY71" s="36"/>
      <c r="AZ71" s="36"/>
      <c r="BB71" s="52" t="s">
        <v>575</v>
      </c>
      <c r="BC71" s="24" t="str">
        <f t="shared" si="13"/>
        <v>Obese</v>
      </c>
      <c r="BE71" s="1" t="s">
        <v>576</v>
      </c>
    </row>
    <row r="72" spans="1:57" ht="279.95" customHeight="1">
      <c r="A72" s="29" t="s">
        <v>577</v>
      </c>
      <c r="B72" s="8">
        <v>45509</v>
      </c>
      <c r="C72" s="1" t="s">
        <v>117</v>
      </c>
      <c r="D72" s="54">
        <v>15</v>
      </c>
      <c r="E72" s="54">
        <v>23</v>
      </c>
      <c r="F72" s="54">
        <v>36</v>
      </c>
      <c r="G72" s="77" t="s">
        <v>63</v>
      </c>
      <c r="H72" s="33" t="s">
        <v>578</v>
      </c>
      <c r="I72" s="33">
        <v>140</v>
      </c>
      <c r="J72" s="48"/>
      <c r="K72" s="48"/>
      <c r="L72" s="48"/>
      <c r="M72" s="48"/>
      <c r="N72" s="48"/>
      <c r="O72" s="48"/>
      <c r="P72" s="48"/>
      <c r="Q72" s="48"/>
      <c r="R72" s="48"/>
      <c r="S72" s="48"/>
      <c r="T72" s="48"/>
      <c r="U72" s="6">
        <f>I72/1.75^2</f>
        <v>45.714285714285715</v>
      </c>
      <c r="W72" s="6">
        <v>52.6</v>
      </c>
      <c r="X72" s="6">
        <v>50.9</v>
      </c>
      <c r="Y72" s="56">
        <f t="shared" si="9"/>
        <v>51.75</v>
      </c>
      <c r="Z72" s="6">
        <v>49.8</v>
      </c>
      <c r="AA72" s="6">
        <v>50.5</v>
      </c>
      <c r="AB72" s="56">
        <f t="shared" si="8"/>
        <v>50.15</v>
      </c>
      <c r="AC72" s="6">
        <v>46</v>
      </c>
      <c r="AD72" s="6">
        <v>45.5</v>
      </c>
      <c r="AE72" s="56">
        <f t="shared" si="10"/>
        <v>45.75</v>
      </c>
      <c r="AF72" s="14" t="s">
        <v>213</v>
      </c>
      <c r="AG72" s="14" t="s">
        <v>190</v>
      </c>
      <c r="AH72" s="14" t="s">
        <v>307</v>
      </c>
      <c r="AI72" s="14" t="s">
        <v>579</v>
      </c>
      <c r="AJ72" s="14" t="s">
        <v>580</v>
      </c>
      <c r="AK72" s="14" t="s">
        <v>568</v>
      </c>
      <c r="AL72" s="20" t="s">
        <v>581</v>
      </c>
      <c r="AM72" s="11" t="s">
        <v>213</v>
      </c>
      <c r="AN72" s="11" t="s">
        <v>582</v>
      </c>
      <c r="AP72" s="1" t="s">
        <v>197</v>
      </c>
      <c r="AQ72" s="1" t="s">
        <v>307</v>
      </c>
      <c r="AR72" s="6">
        <v>5</v>
      </c>
      <c r="AS72" s="6" t="s">
        <v>351</v>
      </c>
      <c r="AT72" s="6" t="s">
        <v>580</v>
      </c>
      <c r="AU72" s="6">
        <v>5</v>
      </c>
      <c r="AV72" s="36"/>
      <c r="AW72" s="36"/>
      <c r="AX72" s="36"/>
      <c r="AY72" s="36"/>
      <c r="AZ72" s="36"/>
      <c r="BB72" s="24" t="s">
        <v>583</v>
      </c>
      <c r="BC72" s="24" t="str">
        <f t="shared" si="13"/>
        <v>Not Obese</v>
      </c>
      <c r="BE72" s="1" t="s">
        <v>584</v>
      </c>
    </row>
    <row r="73" spans="1:57" ht="140.1" customHeight="1">
      <c r="A73" s="29" t="s">
        <v>585</v>
      </c>
      <c r="B73" s="8">
        <v>45509</v>
      </c>
      <c r="C73" s="1" t="s">
        <v>62</v>
      </c>
      <c r="D73" s="6">
        <v>20</v>
      </c>
      <c r="G73" s="6" t="s">
        <v>63</v>
      </c>
      <c r="H73" s="33" t="str">
        <f t="shared" ref="H73:H104" si="14">IF(OR(AND(G73="Male",J73&gt;=25),AND(G73="Female",J73&gt;=32)),"Yes","No")</f>
        <v>Yes</v>
      </c>
      <c r="I73" s="33">
        <v>77.5</v>
      </c>
      <c r="J73" s="6">
        <v>27.8</v>
      </c>
      <c r="K73" s="6">
        <v>16.5</v>
      </c>
      <c r="L73" s="6">
        <v>1688</v>
      </c>
      <c r="M73" s="6">
        <v>28.7</v>
      </c>
      <c r="N73" s="6">
        <v>34.299999999999997</v>
      </c>
      <c r="O73" s="6">
        <v>21.4</v>
      </c>
      <c r="P73" s="6">
        <v>46.1</v>
      </c>
      <c r="Q73" s="6">
        <v>19.5</v>
      </c>
      <c r="R73" s="6">
        <v>24.4</v>
      </c>
      <c r="S73" s="6">
        <v>17.8</v>
      </c>
      <c r="T73" s="6">
        <v>24.8</v>
      </c>
      <c r="U73" s="6">
        <v>27.8</v>
      </c>
      <c r="V73" s="6">
        <v>62</v>
      </c>
      <c r="W73" s="6">
        <v>43.3</v>
      </c>
      <c r="X73" s="6">
        <v>43.2</v>
      </c>
      <c r="Y73" s="56">
        <f t="shared" si="9"/>
        <v>43.25</v>
      </c>
      <c r="Z73" s="6">
        <v>46.4</v>
      </c>
      <c r="AA73" s="6">
        <v>46.4</v>
      </c>
      <c r="AB73" s="56">
        <f t="shared" si="8"/>
        <v>46.4</v>
      </c>
      <c r="AC73" s="6">
        <v>45.3</v>
      </c>
      <c r="AD73" s="6">
        <v>46.2</v>
      </c>
      <c r="AE73" s="56">
        <f t="shared" si="10"/>
        <v>45.75</v>
      </c>
      <c r="AF73" s="14" t="s">
        <v>119</v>
      </c>
      <c r="AG73" s="14" t="s">
        <v>108</v>
      </c>
      <c r="AH73" s="14" t="s">
        <v>109</v>
      </c>
      <c r="AI73" s="14" t="s">
        <v>242</v>
      </c>
      <c r="AJ73" s="14" t="s">
        <v>121</v>
      </c>
      <c r="AK73" s="14" t="s">
        <v>586</v>
      </c>
      <c r="AL73" s="20" t="s">
        <v>587</v>
      </c>
      <c r="AM73" s="11" t="s">
        <v>119</v>
      </c>
      <c r="AN73" s="11" t="s">
        <v>586</v>
      </c>
      <c r="AP73" s="1" t="s">
        <v>108</v>
      </c>
      <c r="AQ73" s="1" t="s">
        <v>109</v>
      </c>
      <c r="AR73" s="6">
        <v>6</v>
      </c>
      <c r="AS73" s="6" t="s">
        <v>242</v>
      </c>
      <c r="AT73" s="6" t="s">
        <v>121</v>
      </c>
      <c r="AU73" s="6">
        <v>5</v>
      </c>
      <c r="AV73" s="36"/>
      <c r="AW73" s="36"/>
      <c r="AX73" s="61"/>
      <c r="AY73" s="36"/>
      <c r="AZ73" s="36"/>
      <c r="BB73" s="24" t="s">
        <v>588</v>
      </c>
      <c r="BC73" s="24" t="str">
        <f t="shared" si="13"/>
        <v>Obese</v>
      </c>
      <c r="BE73" s="1" t="s">
        <v>589</v>
      </c>
    </row>
    <row r="74" spans="1:57" ht="80.099999999999994" customHeight="1">
      <c r="A74" s="29" t="s">
        <v>590</v>
      </c>
      <c r="B74" s="8">
        <v>45509</v>
      </c>
      <c r="C74" s="1" t="s">
        <v>84</v>
      </c>
      <c r="D74" s="6">
        <v>14</v>
      </c>
      <c r="G74" s="6" t="s">
        <v>63</v>
      </c>
      <c r="H74" s="33" t="str">
        <f t="shared" si="14"/>
        <v>Yes</v>
      </c>
      <c r="I74" s="33">
        <v>69.599999999999994</v>
      </c>
      <c r="J74" s="6">
        <v>27</v>
      </c>
      <c r="K74" s="6">
        <v>17.5</v>
      </c>
      <c r="L74" s="6">
        <v>1557</v>
      </c>
      <c r="M74" s="6">
        <v>27.5</v>
      </c>
      <c r="N74" s="6">
        <v>33.9</v>
      </c>
      <c r="O74" s="6">
        <v>20.6</v>
      </c>
      <c r="P74" s="6">
        <v>44.9</v>
      </c>
      <c r="Q74" s="6">
        <v>19.100000000000001</v>
      </c>
      <c r="R74" s="6">
        <v>23.4</v>
      </c>
      <c r="S74" s="6">
        <v>17.5</v>
      </c>
      <c r="T74" s="6">
        <v>23.8</v>
      </c>
      <c r="U74" s="6">
        <v>27.9</v>
      </c>
      <c r="V74" s="6">
        <v>64</v>
      </c>
      <c r="W74" s="6">
        <v>40</v>
      </c>
      <c r="X74" s="6">
        <v>40.6</v>
      </c>
      <c r="Y74" s="56">
        <f t="shared" si="9"/>
        <v>40.299999999999997</v>
      </c>
      <c r="Z74" s="6">
        <v>45.7</v>
      </c>
      <c r="AA74" s="6">
        <v>43.8</v>
      </c>
      <c r="AB74" s="56">
        <f t="shared" si="8"/>
        <v>44.75</v>
      </c>
      <c r="AC74" s="6">
        <v>41.5</v>
      </c>
      <c r="AD74" s="6">
        <v>42.2</v>
      </c>
      <c r="AE74" s="56">
        <f t="shared" si="10"/>
        <v>41.85</v>
      </c>
      <c r="AF74" s="14" t="s">
        <v>306</v>
      </c>
      <c r="AG74" s="14" t="s">
        <v>409</v>
      </c>
      <c r="AH74" s="14" t="s">
        <v>454</v>
      </c>
      <c r="AI74" s="14" t="s">
        <v>214</v>
      </c>
      <c r="AJ74" s="14" t="s">
        <v>215</v>
      </c>
      <c r="AK74" s="14" t="s">
        <v>591</v>
      </c>
      <c r="AL74" s="20" t="s">
        <v>592</v>
      </c>
      <c r="AM74" s="11" t="s">
        <v>220</v>
      </c>
      <c r="AN74" s="11" t="s">
        <v>591</v>
      </c>
      <c r="AP74" s="1" t="s">
        <v>409</v>
      </c>
      <c r="AQ74" s="1" t="s">
        <v>454</v>
      </c>
      <c r="AR74" s="6">
        <v>5</v>
      </c>
      <c r="AS74" s="6" t="s">
        <v>214</v>
      </c>
      <c r="AT74" s="6" t="s">
        <v>215</v>
      </c>
      <c r="AU74" s="6">
        <v>5</v>
      </c>
      <c r="AV74" s="36"/>
      <c r="AW74" s="36"/>
      <c r="AX74" s="36"/>
      <c r="AY74" s="36"/>
      <c r="AZ74" s="36"/>
      <c r="BC74" s="24" t="str">
        <f t="shared" si="13"/>
        <v>Obese</v>
      </c>
      <c r="BE74" s="1" t="s">
        <v>593</v>
      </c>
    </row>
    <row r="75" spans="1:57" ht="240" customHeight="1">
      <c r="A75" s="29" t="s">
        <v>594</v>
      </c>
      <c r="B75" s="8">
        <v>45509</v>
      </c>
      <c r="C75" s="1" t="s">
        <v>75</v>
      </c>
      <c r="D75" s="6">
        <v>24</v>
      </c>
      <c r="G75" s="6" t="s">
        <v>85</v>
      </c>
      <c r="H75" s="33" t="str">
        <f t="shared" si="14"/>
        <v>No</v>
      </c>
      <c r="I75" s="33">
        <v>58.8</v>
      </c>
      <c r="J75" s="6">
        <v>29.9</v>
      </c>
      <c r="K75" s="6">
        <v>5</v>
      </c>
      <c r="L75" s="6">
        <v>1255</v>
      </c>
      <c r="M75" s="6">
        <v>25.9</v>
      </c>
      <c r="N75" s="6">
        <v>27.9</v>
      </c>
      <c r="O75" s="6">
        <v>19.899999999999999</v>
      </c>
      <c r="P75" s="6">
        <v>39.200000000000003</v>
      </c>
      <c r="Q75" s="6">
        <v>25.9</v>
      </c>
      <c r="R75" s="6">
        <v>40.200000000000003</v>
      </c>
      <c r="S75" s="6">
        <v>22</v>
      </c>
      <c r="T75" s="6">
        <v>34.6</v>
      </c>
      <c r="U75" s="6">
        <v>23</v>
      </c>
      <c r="V75" s="6">
        <v>50</v>
      </c>
      <c r="W75" s="6">
        <v>40.4</v>
      </c>
      <c r="X75" s="6">
        <v>41.8</v>
      </c>
      <c r="Y75" s="56">
        <f t="shared" si="9"/>
        <v>41.099999999999994</v>
      </c>
      <c r="Z75" s="6">
        <v>44.3</v>
      </c>
      <c r="AA75" s="6">
        <v>45</v>
      </c>
      <c r="AB75" s="56">
        <f t="shared" si="8"/>
        <v>44.65</v>
      </c>
      <c r="AC75" s="6">
        <v>44.3</v>
      </c>
      <c r="AD75" s="6">
        <v>44.3</v>
      </c>
      <c r="AE75" s="56">
        <f t="shared" si="10"/>
        <v>44.3</v>
      </c>
      <c r="AF75" s="14" t="s">
        <v>514</v>
      </c>
      <c r="AG75" s="14" t="s">
        <v>338</v>
      </c>
      <c r="AH75" s="14" t="s">
        <v>202</v>
      </c>
      <c r="AI75" s="14" t="s">
        <v>203</v>
      </c>
      <c r="AJ75" s="14" t="s">
        <v>89</v>
      </c>
      <c r="AK75" s="14" t="s">
        <v>261</v>
      </c>
      <c r="AL75" s="20" t="s">
        <v>595</v>
      </c>
      <c r="AM75" s="11" t="s">
        <v>257</v>
      </c>
      <c r="AN75" s="11" t="s">
        <v>261</v>
      </c>
      <c r="AP75" s="1" t="s">
        <v>338</v>
      </c>
      <c r="AQ75" s="1" t="s">
        <v>202</v>
      </c>
      <c r="AR75" s="6">
        <v>5</v>
      </c>
      <c r="AS75" s="6" t="s">
        <v>203</v>
      </c>
      <c r="AT75" s="6" t="s">
        <v>89</v>
      </c>
      <c r="AU75" s="6">
        <v>5</v>
      </c>
      <c r="AV75" s="36"/>
      <c r="AW75" s="36"/>
      <c r="AX75" s="36"/>
      <c r="AY75" s="36"/>
      <c r="AZ75" s="36"/>
      <c r="BC75" s="24" t="str">
        <f t="shared" si="13"/>
        <v>Not Obese</v>
      </c>
      <c r="BE75" s="1" t="s">
        <v>596</v>
      </c>
    </row>
    <row r="76" spans="1:57" ht="140.1" customHeight="1">
      <c r="A76" s="29" t="s">
        <v>597</v>
      </c>
      <c r="B76" s="8">
        <v>45510</v>
      </c>
      <c r="C76" s="1" t="s">
        <v>75</v>
      </c>
      <c r="D76" s="137">
        <v>27</v>
      </c>
      <c r="E76" s="137">
        <v>30</v>
      </c>
      <c r="F76" s="137">
        <v>30</v>
      </c>
      <c r="G76" s="6" t="s">
        <v>63</v>
      </c>
      <c r="H76" s="33" t="str">
        <f t="shared" si="14"/>
        <v>Yes</v>
      </c>
      <c r="I76" s="33">
        <v>79.8</v>
      </c>
      <c r="J76" s="6">
        <v>32.1</v>
      </c>
      <c r="K76" s="6">
        <v>18.5</v>
      </c>
      <c r="L76" s="6">
        <v>1697</v>
      </c>
      <c r="M76" s="6">
        <v>26.7</v>
      </c>
      <c r="N76" s="6">
        <v>33.1</v>
      </c>
      <c r="O76" s="6">
        <v>18.600000000000001</v>
      </c>
      <c r="P76" s="6">
        <v>44.2</v>
      </c>
      <c r="Q76" s="6">
        <v>22.4</v>
      </c>
      <c r="R76" s="6">
        <v>29.6</v>
      </c>
      <c r="S76" s="6">
        <v>20.6</v>
      </c>
      <c r="T76" s="6">
        <v>30.3</v>
      </c>
      <c r="U76" s="6">
        <v>29</v>
      </c>
      <c r="V76" s="6">
        <v>65</v>
      </c>
      <c r="W76" s="6">
        <v>40.5</v>
      </c>
      <c r="X76" s="6">
        <v>40.4</v>
      </c>
      <c r="Y76" s="56">
        <f t="shared" si="9"/>
        <v>40.450000000000003</v>
      </c>
      <c r="Z76" s="6">
        <v>48.6</v>
      </c>
      <c r="AA76" s="6">
        <v>48.4</v>
      </c>
      <c r="AB76" s="56">
        <f t="shared" si="8"/>
        <v>48.5</v>
      </c>
      <c r="AC76" s="6">
        <v>40.5</v>
      </c>
      <c r="AD76" s="6">
        <v>42.2</v>
      </c>
      <c r="AE76" s="56">
        <f t="shared" si="10"/>
        <v>41.35</v>
      </c>
      <c r="AF76" s="14" t="s">
        <v>134</v>
      </c>
      <c r="AG76" s="14" t="s">
        <v>129</v>
      </c>
      <c r="AH76" s="14" t="s">
        <v>137</v>
      </c>
      <c r="AI76" s="14" t="s">
        <v>138</v>
      </c>
      <c r="AJ76" s="14" t="s">
        <v>365</v>
      </c>
      <c r="AK76" s="14" t="s">
        <v>224</v>
      </c>
      <c r="AL76" s="20" t="s">
        <v>598</v>
      </c>
      <c r="AM76" s="11" t="s">
        <v>134</v>
      </c>
      <c r="AN76" s="11" t="s">
        <v>224</v>
      </c>
      <c r="AO76" s="20" t="s">
        <v>599</v>
      </c>
      <c r="AP76" s="1" t="s">
        <v>129</v>
      </c>
      <c r="AQ76" s="1" t="s">
        <v>137</v>
      </c>
      <c r="AR76" s="6">
        <v>5</v>
      </c>
      <c r="AS76" s="6" t="s">
        <v>138</v>
      </c>
      <c r="AT76" s="6" t="s">
        <v>365</v>
      </c>
      <c r="AU76" s="6">
        <v>7</v>
      </c>
      <c r="AV76" s="36"/>
      <c r="AW76" s="36"/>
      <c r="AX76" s="36"/>
      <c r="AY76" s="36"/>
      <c r="AZ76" s="36"/>
      <c r="BC76" s="24" t="str">
        <f t="shared" si="13"/>
        <v>Obese</v>
      </c>
      <c r="BE76" s="1" t="s">
        <v>73</v>
      </c>
    </row>
    <row r="77" spans="1:57" ht="20.100000000000001" customHeight="1">
      <c r="A77" s="29" t="s">
        <v>600</v>
      </c>
      <c r="B77" s="8">
        <v>45510</v>
      </c>
      <c r="C77" s="1" t="s">
        <v>62</v>
      </c>
      <c r="D77" s="6">
        <v>23</v>
      </c>
      <c r="G77" s="6" t="s">
        <v>85</v>
      </c>
      <c r="H77" s="33" t="str">
        <f t="shared" si="14"/>
        <v>Yes</v>
      </c>
      <c r="I77" s="33">
        <v>65.599999999999994</v>
      </c>
      <c r="J77" s="6">
        <v>39.799999999999997</v>
      </c>
      <c r="K77" s="6">
        <v>8.5</v>
      </c>
      <c r="L77" s="6">
        <v>1308</v>
      </c>
      <c r="M77" s="6">
        <v>21.3</v>
      </c>
      <c r="N77" s="6">
        <v>21</v>
      </c>
      <c r="O77" s="6">
        <v>15.3</v>
      </c>
      <c r="P77" s="6">
        <v>33.6</v>
      </c>
      <c r="Q77" s="6">
        <v>32.1</v>
      </c>
      <c r="R77" s="6">
        <v>52.3</v>
      </c>
      <c r="S77" s="6">
        <v>29.6</v>
      </c>
      <c r="T77" s="6">
        <v>44.3</v>
      </c>
      <c r="U77" s="6">
        <v>24.7</v>
      </c>
      <c r="V77" s="6">
        <v>72</v>
      </c>
      <c r="W77" s="6">
        <v>39.6</v>
      </c>
      <c r="X77" s="6">
        <v>39.299999999999997</v>
      </c>
      <c r="Y77" s="56">
        <f t="shared" si="9"/>
        <v>39.450000000000003</v>
      </c>
      <c r="Z77" s="6">
        <v>48.9</v>
      </c>
      <c r="AA77" s="6">
        <v>48.9</v>
      </c>
      <c r="AB77" s="56">
        <f t="shared" si="8"/>
        <v>48.9</v>
      </c>
      <c r="AC77" s="6">
        <v>45.4</v>
      </c>
      <c r="AD77" s="6">
        <v>46</v>
      </c>
      <c r="AE77" s="56">
        <f t="shared" si="10"/>
        <v>45.7</v>
      </c>
      <c r="AF77" s="14" t="s">
        <v>264</v>
      </c>
      <c r="AG77" s="14" t="s">
        <v>87</v>
      </c>
      <c r="AH77" s="14" t="s">
        <v>108</v>
      </c>
      <c r="AI77" s="14" t="s">
        <v>302</v>
      </c>
      <c r="AJ77" s="14" t="s">
        <v>110</v>
      </c>
      <c r="AK77" s="14" t="s">
        <v>303</v>
      </c>
      <c r="AM77" s="11" t="s">
        <v>514</v>
      </c>
      <c r="AN77" s="11" t="s">
        <v>601</v>
      </c>
      <c r="AP77" s="1" t="s">
        <v>87</v>
      </c>
      <c r="AQ77" s="1" t="s">
        <v>108</v>
      </c>
      <c r="AR77" s="6">
        <v>6</v>
      </c>
      <c r="AS77" s="6" t="s">
        <v>302</v>
      </c>
      <c r="AT77" s="6" t="s">
        <v>110</v>
      </c>
      <c r="AU77" s="6">
        <v>5</v>
      </c>
      <c r="AV77" s="36"/>
      <c r="AW77" s="36"/>
      <c r="AX77" s="61"/>
      <c r="AY77" s="36"/>
      <c r="AZ77" s="36"/>
      <c r="BC77" s="24" t="str">
        <f t="shared" si="13"/>
        <v>Not Obese</v>
      </c>
      <c r="BE77" s="1" t="s">
        <v>73</v>
      </c>
    </row>
    <row r="78" spans="1:57" ht="80.099999999999994" customHeight="1">
      <c r="A78" s="29" t="s">
        <v>602</v>
      </c>
      <c r="B78" s="8">
        <v>45510</v>
      </c>
      <c r="C78" s="1" t="s">
        <v>84</v>
      </c>
      <c r="D78" s="6" t="s">
        <v>603</v>
      </c>
      <c r="G78" s="6" t="s">
        <v>85</v>
      </c>
      <c r="H78" s="33" t="str">
        <f t="shared" si="14"/>
        <v>No</v>
      </c>
      <c r="I78" s="33">
        <v>47.4</v>
      </c>
      <c r="J78" s="6">
        <v>25</v>
      </c>
      <c r="K78" s="6">
        <v>2.5</v>
      </c>
      <c r="L78" s="6">
        <v>1091</v>
      </c>
      <c r="M78" s="6">
        <v>26.7</v>
      </c>
      <c r="N78" s="6">
        <v>31.3</v>
      </c>
      <c r="O78" s="6">
        <v>21.3</v>
      </c>
      <c r="P78" s="6">
        <v>39</v>
      </c>
      <c r="Q78" s="6">
        <v>20.7</v>
      </c>
      <c r="R78" s="6">
        <v>34.799999999999997</v>
      </c>
      <c r="S78" s="6">
        <v>16.8</v>
      </c>
      <c r="T78" s="6">
        <v>28.6</v>
      </c>
      <c r="U78" s="6">
        <v>19.100000000000001</v>
      </c>
      <c r="V78" s="6">
        <v>41</v>
      </c>
      <c r="W78" s="6">
        <v>39</v>
      </c>
      <c r="X78" s="6">
        <v>38.9</v>
      </c>
      <c r="Y78" s="56">
        <f t="shared" si="9"/>
        <v>38.950000000000003</v>
      </c>
      <c r="Z78" s="6">
        <v>42.8</v>
      </c>
      <c r="AA78" s="6">
        <v>42.6</v>
      </c>
      <c r="AB78" s="56">
        <f t="shared" si="8"/>
        <v>42.7</v>
      </c>
      <c r="AC78" s="6">
        <v>41.6</v>
      </c>
      <c r="AD78" s="6">
        <v>41.6</v>
      </c>
      <c r="AE78" s="56">
        <f t="shared" si="10"/>
        <v>41.6</v>
      </c>
      <c r="AF78" s="14" t="s">
        <v>604</v>
      </c>
      <c r="AG78" s="14" t="s">
        <v>278</v>
      </c>
      <c r="AH78" s="14" t="s">
        <v>605</v>
      </c>
      <c r="AI78" s="14" t="s">
        <v>152</v>
      </c>
      <c r="AL78" s="20" t="s">
        <v>606</v>
      </c>
      <c r="AM78" s="11" t="s">
        <v>604</v>
      </c>
      <c r="AN78" s="11" t="s">
        <v>607</v>
      </c>
      <c r="AP78" s="1" t="s">
        <v>278</v>
      </c>
      <c r="AQ78" s="1" t="s">
        <v>608</v>
      </c>
      <c r="AR78" s="6">
        <v>6</v>
      </c>
      <c r="AV78" s="36"/>
      <c r="AW78" s="36"/>
      <c r="AX78" s="36"/>
      <c r="AY78" s="36"/>
      <c r="BB78" s="24" t="s">
        <v>609</v>
      </c>
      <c r="BC78" s="24" t="str">
        <f t="shared" si="13"/>
        <v>Not Obese</v>
      </c>
    </row>
    <row r="79" spans="1:57" ht="80.099999999999994" customHeight="1">
      <c r="A79" s="29" t="s">
        <v>610</v>
      </c>
      <c r="B79" s="8">
        <v>45516</v>
      </c>
      <c r="C79" s="1" t="s">
        <v>117</v>
      </c>
      <c r="D79" s="6">
        <v>23</v>
      </c>
      <c r="G79" s="6" t="s">
        <v>85</v>
      </c>
      <c r="H79" s="33" t="str">
        <f t="shared" si="14"/>
        <v>Yes</v>
      </c>
      <c r="I79" s="33">
        <v>48.4</v>
      </c>
      <c r="J79" s="6">
        <v>33.5</v>
      </c>
      <c r="K79" s="6">
        <v>3</v>
      </c>
      <c r="L79" s="6">
        <v>1079</v>
      </c>
      <c r="M79" s="6">
        <v>23.9</v>
      </c>
      <c r="N79" s="6">
        <v>27.8</v>
      </c>
      <c r="O79" s="6">
        <v>19.3</v>
      </c>
      <c r="P79" s="6">
        <v>33.1</v>
      </c>
      <c r="Q79" s="6">
        <v>25.1</v>
      </c>
      <c r="R79" s="6">
        <v>45.6</v>
      </c>
      <c r="S79" s="6">
        <v>22.7</v>
      </c>
      <c r="T79" s="6">
        <v>37.200000000000003</v>
      </c>
      <c r="U79" s="6">
        <v>19.399999999999999</v>
      </c>
      <c r="V79" s="6">
        <v>38</v>
      </c>
      <c r="W79" s="6">
        <v>37.5</v>
      </c>
      <c r="X79" s="6">
        <v>37.5</v>
      </c>
      <c r="Y79" s="56">
        <f t="shared" si="9"/>
        <v>37.5</v>
      </c>
      <c r="Z79" s="6">
        <v>43.7</v>
      </c>
      <c r="AA79" s="6">
        <v>44.2</v>
      </c>
      <c r="AB79" s="56">
        <f t="shared" si="8"/>
        <v>43.95</v>
      </c>
      <c r="AC79" s="6">
        <v>41.8</v>
      </c>
      <c r="AD79" s="6">
        <v>42.2</v>
      </c>
      <c r="AE79" s="56">
        <f t="shared" si="10"/>
        <v>42</v>
      </c>
      <c r="AF79" s="14" t="s">
        <v>306</v>
      </c>
      <c r="AG79" s="14" t="s">
        <v>397</v>
      </c>
      <c r="AH79" s="14" t="s">
        <v>454</v>
      </c>
      <c r="AI79" s="14" t="s">
        <v>214</v>
      </c>
      <c r="AJ79" s="14" t="s">
        <v>215</v>
      </c>
      <c r="AK79" s="14" t="s">
        <v>591</v>
      </c>
      <c r="AL79" s="20" t="s">
        <v>611</v>
      </c>
      <c r="AM79" s="11" t="s">
        <v>220</v>
      </c>
      <c r="AN79" s="11" t="s">
        <v>216</v>
      </c>
      <c r="AP79" s="1" t="s">
        <v>409</v>
      </c>
      <c r="AQ79" s="1" t="s">
        <v>454</v>
      </c>
      <c r="AR79" s="6">
        <v>5</v>
      </c>
      <c r="AS79" s="6" t="s">
        <v>214</v>
      </c>
      <c r="AT79" s="6" t="s">
        <v>215</v>
      </c>
      <c r="AU79" s="6">
        <v>5</v>
      </c>
      <c r="AV79" s="36"/>
      <c r="AW79" s="36"/>
      <c r="AX79" s="36"/>
      <c r="AY79" s="36"/>
      <c r="AZ79" s="36"/>
      <c r="BB79" s="24" t="s">
        <v>612</v>
      </c>
      <c r="BC79" s="24" t="str">
        <f t="shared" si="13"/>
        <v>Not Obese</v>
      </c>
      <c r="BE79" s="1" t="s">
        <v>613</v>
      </c>
    </row>
    <row r="80" spans="1:57" ht="80.099999999999994" customHeight="1">
      <c r="A80" s="29" t="s">
        <v>614</v>
      </c>
      <c r="B80" s="8">
        <v>45516</v>
      </c>
      <c r="C80" s="1" t="s">
        <v>62</v>
      </c>
      <c r="D80" s="54">
        <v>22</v>
      </c>
      <c r="E80" s="54">
        <v>30</v>
      </c>
      <c r="F80" s="137" t="s">
        <v>2415</v>
      </c>
      <c r="G80" s="149" t="s">
        <v>63</v>
      </c>
      <c r="H80" s="33" t="str">
        <f t="shared" si="14"/>
        <v>No</v>
      </c>
      <c r="I80" s="33">
        <v>66.900000000000006</v>
      </c>
      <c r="J80" s="6">
        <v>22</v>
      </c>
      <c r="K80" s="6">
        <v>9.5</v>
      </c>
      <c r="L80" s="6">
        <v>1549</v>
      </c>
      <c r="M80" s="6">
        <v>31.1</v>
      </c>
      <c r="N80" s="6">
        <v>37</v>
      </c>
      <c r="O80" s="6">
        <v>24.8</v>
      </c>
      <c r="P80" s="6">
        <v>48.5</v>
      </c>
      <c r="Q80" s="6">
        <v>15.2</v>
      </c>
      <c r="R80" s="6">
        <v>19.8</v>
      </c>
      <c r="S80" s="6">
        <v>13.5</v>
      </c>
      <c r="T80" s="6">
        <v>19.600000000000001</v>
      </c>
      <c r="U80" s="6">
        <v>23.4</v>
      </c>
      <c r="V80" s="6">
        <v>48</v>
      </c>
      <c r="W80" s="6">
        <v>38.1</v>
      </c>
      <c r="X80" s="6">
        <v>38.5</v>
      </c>
      <c r="Y80" s="56">
        <f t="shared" si="9"/>
        <v>38.299999999999997</v>
      </c>
      <c r="Z80" s="6">
        <v>46</v>
      </c>
      <c r="AA80" s="6">
        <v>46.4</v>
      </c>
      <c r="AB80" s="56">
        <f t="shared" si="8"/>
        <v>46.2</v>
      </c>
      <c r="AC80" s="6">
        <v>48</v>
      </c>
      <c r="AD80" s="6">
        <v>46.2</v>
      </c>
      <c r="AE80" s="56">
        <f t="shared" si="10"/>
        <v>47.1</v>
      </c>
      <c r="AF80" s="14" t="s">
        <v>91</v>
      </c>
      <c r="AG80" s="14" t="s">
        <v>343</v>
      </c>
      <c r="AH80" s="14" t="s">
        <v>87</v>
      </c>
      <c r="AI80" s="14" t="s">
        <v>324</v>
      </c>
      <c r="AJ80" s="14" t="s">
        <v>302</v>
      </c>
      <c r="AK80" s="14" t="s">
        <v>615</v>
      </c>
      <c r="AM80" s="11" t="s">
        <v>91</v>
      </c>
      <c r="AN80" s="11" t="s">
        <v>615</v>
      </c>
      <c r="AP80" s="1" t="s">
        <v>343</v>
      </c>
      <c r="AQ80" s="1" t="s">
        <v>87</v>
      </c>
      <c r="AR80" s="6">
        <v>5</v>
      </c>
      <c r="AS80" s="6" t="s">
        <v>324</v>
      </c>
      <c r="AT80" s="6" t="s">
        <v>302</v>
      </c>
      <c r="AU80" s="6">
        <v>6</v>
      </c>
      <c r="AV80" s="36"/>
      <c r="AW80" s="36"/>
      <c r="AX80" s="36"/>
      <c r="AY80" s="36"/>
      <c r="AZ80" s="36"/>
      <c r="BB80" s="52" t="s">
        <v>616</v>
      </c>
      <c r="BC80" s="24" t="str">
        <f t="shared" si="13"/>
        <v>Not Obese</v>
      </c>
      <c r="BE80" s="1" t="s">
        <v>617</v>
      </c>
    </row>
    <row r="81" spans="1:57" ht="60" customHeight="1">
      <c r="A81" s="29" t="s">
        <v>618</v>
      </c>
      <c r="B81" s="8">
        <v>45516</v>
      </c>
      <c r="C81" s="1" t="s">
        <v>84</v>
      </c>
      <c r="D81" s="6">
        <v>20</v>
      </c>
      <c r="G81" s="6" t="s">
        <v>85</v>
      </c>
      <c r="H81" s="33" t="str">
        <f t="shared" si="14"/>
        <v>Yes</v>
      </c>
      <c r="I81" s="33">
        <v>57.5</v>
      </c>
      <c r="J81" s="6">
        <v>36.700000000000003</v>
      </c>
      <c r="K81" s="6">
        <v>7.5</v>
      </c>
      <c r="L81" s="6">
        <v>1200</v>
      </c>
      <c r="M81" s="6">
        <v>22</v>
      </c>
      <c r="N81" s="6">
        <v>23.5</v>
      </c>
      <c r="O81" s="6">
        <v>16.2</v>
      </c>
      <c r="P81" s="6">
        <v>34.1</v>
      </c>
      <c r="Q81" s="6">
        <v>30</v>
      </c>
      <c r="R81" s="6">
        <v>48.1</v>
      </c>
      <c r="S81" s="6">
        <v>27.1</v>
      </c>
      <c r="T81" s="6">
        <v>40.200000000000003</v>
      </c>
      <c r="U81" s="6">
        <v>23.9</v>
      </c>
      <c r="V81" s="6">
        <v>65</v>
      </c>
      <c r="W81" s="6">
        <v>36.799999999999997</v>
      </c>
      <c r="X81" s="6">
        <v>36.700000000000003</v>
      </c>
      <c r="Y81" s="56">
        <f t="shared" si="9"/>
        <v>36.75</v>
      </c>
      <c r="Z81" s="6">
        <v>44</v>
      </c>
      <c r="AA81" s="6">
        <v>44.2</v>
      </c>
      <c r="AB81" s="56">
        <f t="shared" si="8"/>
        <v>44.1</v>
      </c>
      <c r="AC81" s="6">
        <v>41.1</v>
      </c>
      <c r="AD81" s="6">
        <v>41.2</v>
      </c>
      <c r="AE81" s="56">
        <f t="shared" si="10"/>
        <v>41.150000000000006</v>
      </c>
      <c r="AF81" s="14" t="s">
        <v>170</v>
      </c>
      <c r="AG81" s="14" t="s">
        <v>178</v>
      </c>
      <c r="AH81" s="14" t="s">
        <v>172</v>
      </c>
      <c r="AI81" s="14" t="s">
        <v>173</v>
      </c>
      <c r="AJ81" s="14" t="s">
        <v>174</v>
      </c>
      <c r="AK81" s="14" t="s">
        <v>392</v>
      </c>
      <c r="AL81" s="1" t="s">
        <v>619</v>
      </c>
      <c r="AM81" s="11" t="s">
        <v>170</v>
      </c>
      <c r="AN81" s="11" t="s">
        <v>392</v>
      </c>
      <c r="AP81" s="1" t="s">
        <v>178</v>
      </c>
      <c r="AQ81" s="1" t="s">
        <v>172</v>
      </c>
      <c r="AR81" s="6">
        <v>5</v>
      </c>
      <c r="AS81" s="6" t="s">
        <v>173</v>
      </c>
      <c r="AT81" s="6" t="s">
        <v>174</v>
      </c>
      <c r="AU81" s="6">
        <v>5</v>
      </c>
      <c r="AV81" s="36"/>
      <c r="AW81" s="36"/>
      <c r="AX81" s="36"/>
      <c r="AY81" s="36"/>
      <c r="AZ81" s="36"/>
      <c r="BB81" s="24" t="s">
        <v>620</v>
      </c>
      <c r="BC81" s="24" t="str">
        <f t="shared" si="13"/>
        <v>Not Obese</v>
      </c>
      <c r="BE81" s="1" t="s">
        <v>621</v>
      </c>
    </row>
    <row r="82" spans="1:57" ht="39.950000000000003" customHeight="1">
      <c r="A82" s="29" t="s">
        <v>622</v>
      </c>
      <c r="B82" s="8">
        <v>45516</v>
      </c>
      <c r="C82" s="1" t="s">
        <v>75</v>
      </c>
      <c r="D82" s="6">
        <v>15</v>
      </c>
      <c r="G82" s="6" t="s">
        <v>85</v>
      </c>
      <c r="H82" s="33" t="str">
        <f t="shared" si="14"/>
        <v>Yes</v>
      </c>
      <c r="I82" s="33">
        <v>64.599999999999994</v>
      </c>
      <c r="J82" s="6">
        <v>33.5</v>
      </c>
      <c r="K82" s="6">
        <v>5.5</v>
      </c>
      <c r="L82" s="6">
        <v>1328</v>
      </c>
      <c r="M82" s="6">
        <v>24.6</v>
      </c>
      <c r="N82" s="6">
        <v>25.1</v>
      </c>
      <c r="O82" s="6">
        <v>18.3</v>
      </c>
      <c r="P82" s="6">
        <v>37.4</v>
      </c>
      <c r="Q82" s="6">
        <v>27.9</v>
      </c>
      <c r="R82" s="6">
        <v>44.6</v>
      </c>
      <c r="S82" s="6">
        <v>24.6</v>
      </c>
      <c r="T82" s="6">
        <v>37.799999999999997</v>
      </c>
      <c r="U82" s="6">
        <v>23.2</v>
      </c>
      <c r="V82" s="6">
        <v>58</v>
      </c>
      <c r="W82" s="6">
        <v>40</v>
      </c>
      <c r="X82" s="6">
        <v>40</v>
      </c>
      <c r="Y82" s="56">
        <f t="shared" si="9"/>
        <v>40</v>
      </c>
      <c r="Z82" s="6">
        <v>47.7</v>
      </c>
      <c r="AA82" s="6">
        <v>47.9</v>
      </c>
      <c r="AB82" s="56">
        <f t="shared" si="8"/>
        <v>47.8</v>
      </c>
      <c r="AC82" s="6">
        <v>46.4</v>
      </c>
      <c r="AD82" s="6">
        <v>46.3</v>
      </c>
      <c r="AE82" s="56">
        <f t="shared" si="10"/>
        <v>46.349999999999994</v>
      </c>
      <c r="AF82" s="14" t="s">
        <v>623</v>
      </c>
      <c r="AG82" s="14" t="s">
        <v>349</v>
      </c>
      <c r="AH82" s="14" t="s">
        <v>624</v>
      </c>
      <c r="AI82" s="14" t="s">
        <v>579</v>
      </c>
      <c r="AJ82" s="14" t="s">
        <v>625</v>
      </c>
      <c r="AK82" s="14" t="s">
        <v>410</v>
      </c>
      <c r="AL82" s="20" t="s">
        <v>626</v>
      </c>
      <c r="AM82" s="11" t="s">
        <v>623</v>
      </c>
      <c r="AN82" s="11" t="s">
        <v>410</v>
      </c>
      <c r="AO82" s="1" t="s">
        <v>627</v>
      </c>
      <c r="AP82" s="1" t="s">
        <v>349</v>
      </c>
      <c r="AQ82" s="1" t="s">
        <v>624</v>
      </c>
      <c r="AR82" s="6">
        <v>5</v>
      </c>
      <c r="AS82" s="6" t="s">
        <v>579</v>
      </c>
      <c r="AT82" s="6" t="s">
        <v>625</v>
      </c>
      <c r="AU82" s="6">
        <v>5</v>
      </c>
      <c r="AV82" s="36"/>
      <c r="AW82" s="36"/>
      <c r="AX82" s="36"/>
      <c r="AY82" s="36"/>
      <c r="AZ82" s="36"/>
      <c r="BB82" s="24" t="s">
        <v>628</v>
      </c>
      <c r="BC82" s="24" t="str">
        <f t="shared" si="13"/>
        <v>Not Obese</v>
      </c>
      <c r="BE82" s="1" t="s">
        <v>629</v>
      </c>
    </row>
    <row r="83" spans="1:57" ht="20.100000000000001" customHeight="1">
      <c r="A83" s="29" t="s">
        <v>630</v>
      </c>
      <c r="B83" s="8">
        <v>45517</v>
      </c>
      <c r="C83" s="1" t="s">
        <v>117</v>
      </c>
      <c r="D83" s="6">
        <v>31</v>
      </c>
      <c r="G83" s="6" t="s">
        <v>63</v>
      </c>
      <c r="H83" s="33" t="str">
        <f t="shared" si="14"/>
        <v>No</v>
      </c>
      <c r="I83" s="33">
        <v>68.900000000000006</v>
      </c>
      <c r="J83" s="6">
        <v>23.7</v>
      </c>
      <c r="K83" s="6">
        <v>9.5</v>
      </c>
      <c r="L83" s="6">
        <v>1574</v>
      </c>
      <c r="M83" s="6">
        <v>30.6</v>
      </c>
      <c r="N83" s="6">
        <v>36.1</v>
      </c>
      <c r="O83" s="6">
        <v>23.9</v>
      </c>
      <c r="P83" s="6">
        <v>48</v>
      </c>
      <c r="Q83" s="6">
        <v>16.3</v>
      </c>
      <c r="R83" s="6">
        <v>21.2</v>
      </c>
      <c r="S83" s="6">
        <v>14.4</v>
      </c>
      <c r="T83" s="6">
        <v>21.3</v>
      </c>
      <c r="U83" s="6">
        <v>23</v>
      </c>
      <c r="V83" s="6">
        <v>51</v>
      </c>
      <c r="W83" s="6">
        <v>37</v>
      </c>
      <c r="X83" s="6">
        <v>37.700000000000003</v>
      </c>
      <c r="Y83" s="56">
        <f t="shared" si="9"/>
        <v>37.35</v>
      </c>
      <c r="Z83" s="6">
        <v>45.2</v>
      </c>
      <c r="AA83" s="6">
        <v>45.3</v>
      </c>
      <c r="AB83" s="56">
        <f t="shared" si="8"/>
        <v>45.25</v>
      </c>
      <c r="AC83" s="6">
        <v>47.4</v>
      </c>
      <c r="AD83" s="6">
        <v>48.2</v>
      </c>
      <c r="AE83" s="56">
        <f t="shared" si="10"/>
        <v>47.8</v>
      </c>
      <c r="AF83" s="14" t="s">
        <v>415</v>
      </c>
      <c r="AG83" s="14" t="s">
        <v>624</v>
      </c>
      <c r="AH83" s="14" t="s">
        <v>631</v>
      </c>
      <c r="AI83" s="14" t="s">
        <v>625</v>
      </c>
      <c r="AJ83" s="14" t="s">
        <v>323</v>
      </c>
      <c r="AL83" s="1" t="s">
        <v>632</v>
      </c>
      <c r="AM83" s="11" t="s">
        <v>415</v>
      </c>
      <c r="AP83" s="1" t="s">
        <v>624</v>
      </c>
      <c r="AQ83" s="1" t="s">
        <v>631</v>
      </c>
      <c r="AR83" s="6">
        <v>5</v>
      </c>
      <c r="AS83" s="6" t="s">
        <v>580</v>
      </c>
      <c r="AT83" s="6" t="s">
        <v>323</v>
      </c>
      <c r="AU83" s="6">
        <v>5</v>
      </c>
      <c r="AV83" s="36"/>
      <c r="AW83" s="36"/>
      <c r="AX83" s="36"/>
      <c r="AY83" s="36"/>
      <c r="AZ83" s="36"/>
      <c r="BB83" s="24" t="s">
        <v>633</v>
      </c>
      <c r="BC83" s="24" t="str">
        <f t="shared" si="13"/>
        <v>Not Obese</v>
      </c>
      <c r="BE83" s="1" t="s">
        <v>634</v>
      </c>
    </row>
    <row r="84" spans="1:57" ht="60" customHeight="1">
      <c r="A84" s="29" t="s">
        <v>635</v>
      </c>
      <c r="B84" s="8">
        <v>45517</v>
      </c>
      <c r="C84" s="1" t="s">
        <v>62</v>
      </c>
      <c r="D84" s="137">
        <v>25</v>
      </c>
      <c r="E84" s="137">
        <v>28</v>
      </c>
      <c r="F84" s="137">
        <v>29</v>
      </c>
      <c r="G84" s="6" t="s">
        <v>63</v>
      </c>
      <c r="H84" s="33" t="str">
        <f t="shared" si="14"/>
        <v>Yes</v>
      </c>
      <c r="I84" s="33">
        <v>67.3</v>
      </c>
      <c r="J84" s="6">
        <v>25.4</v>
      </c>
      <c r="K84" s="6">
        <v>9.5</v>
      </c>
      <c r="L84" s="6">
        <v>1534</v>
      </c>
      <c r="M84" s="6">
        <v>29</v>
      </c>
      <c r="N84" s="6">
        <v>35.4</v>
      </c>
      <c r="O84" s="6">
        <v>22.2</v>
      </c>
      <c r="P84" s="6">
        <v>46.4</v>
      </c>
      <c r="Q84" s="6">
        <v>17.2</v>
      </c>
      <c r="R84" s="6">
        <v>21.8</v>
      </c>
      <c r="S84" s="6">
        <v>15.2</v>
      </c>
      <c r="T84" s="6">
        <v>22.1</v>
      </c>
      <c r="U84" s="6">
        <v>22.7</v>
      </c>
      <c r="V84" s="6">
        <v>57</v>
      </c>
      <c r="W84" s="6">
        <v>38.200000000000003</v>
      </c>
      <c r="X84" s="6">
        <v>38.299999999999997</v>
      </c>
      <c r="Y84" s="56">
        <f t="shared" si="9"/>
        <v>38.25</v>
      </c>
      <c r="Z84" s="6">
        <v>47.4</v>
      </c>
      <c r="AA84" s="6">
        <v>49</v>
      </c>
      <c r="AB84" s="56">
        <f t="shared" si="8"/>
        <v>48.2</v>
      </c>
      <c r="AC84" s="6">
        <v>48.1</v>
      </c>
      <c r="AD84" s="6">
        <v>48.7</v>
      </c>
      <c r="AE84" s="56">
        <f t="shared" si="10"/>
        <v>48.400000000000006</v>
      </c>
      <c r="AF84" s="14" t="s">
        <v>354</v>
      </c>
      <c r="AG84" s="14" t="s">
        <v>380</v>
      </c>
      <c r="AH84" s="14" t="s">
        <v>189</v>
      </c>
      <c r="AI84" s="14" t="s">
        <v>174</v>
      </c>
      <c r="AJ84" s="14" t="s">
        <v>398</v>
      </c>
      <c r="AM84" s="11" t="s">
        <v>354</v>
      </c>
      <c r="AP84" s="1" t="s">
        <v>380</v>
      </c>
      <c r="AQ84" s="1" t="s">
        <v>189</v>
      </c>
      <c r="AR84" s="6">
        <v>5</v>
      </c>
      <c r="AS84" s="6" t="s">
        <v>174</v>
      </c>
      <c r="AT84" s="6" t="s">
        <v>398</v>
      </c>
      <c r="AU84" s="6">
        <v>5</v>
      </c>
      <c r="AV84" s="36"/>
      <c r="AW84" s="36"/>
      <c r="AX84" s="36"/>
      <c r="AY84" s="36"/>
      <c r="AZ84" s="36"/>
      <c r="BB84" s="52" t="s">
        <v>636</v>
      </c>
      <c r="BC84" s="24" t="str">
        <f t="shared" si="13"/>
        <v>Not Obese</v>
      </c>
      <c r="BE84" s="1" t="s">
        <v>637</v>
      </c>
    </row>
    <row r="85" spans="1:57" ht="80.099999999999994" customHeight="1">
      <c r="A85" s="29" t="s">
        <v>638</v>
      </c>
      <c r="B85" s="8">
        <v>45517</v>
      </c>
      <c r="C85" s="1" t="s">
        <v>84</v>
      </c>
      <c r="D85" s="6">
        <v>20</v>
      </c>
      <c r="G85" s="6" t="s">
        <v>85</v>
      </c>
      <c r="H85" s="33" t="str">
        <f t="shared" si="14"/>
        <v>No</v>
      </c>
      <c r="I85" s="33">
        <v>44.5</v>
      </c>
      <c r="J85" s="6">
        <v>30.3</v>
      </c>
      <c r="K85" s="6">
        <v>2.5</v>
      </c>
      <c r="L85" s="6">
        <v>1025</v>
      </c>
      <c r="M85" s="6">
        <v>23.8</v>
      </c>
      <c r="N85" s="6">
        <v>28.5</v>
      </c>
      <c r="O85" s="6">
        <v>18.7</v>
      </c>
      <c r="P85" s="6">
        <v>34.4</v>
      </c>
      <c r="Q85" s="6">
        <v>22.5</v>
      </c>
      <c r="R85" s="6">
        <v>40.299999999999997</v>
      </c>
      <c r="S85" s="6">
        <v>19.899999999999999</v>
      </c>
      <c r="T85" s="6">
        <v>30.9</v>
      </c>
      <c r="U85" s="6">
        <v>18.100000000000001</v>
      </c>
      <c r="V85" s="6">
        <v>48</v>
      </c>
      <c r="W85" s="6">
        <v>35.6</v>
      </c>
      <c r="X85" s="6">
        <v>37.6</v>
      </c>
      <c r="Y85" s="56">
        <f t="shared" si="9"/>
        <v>36.6</v>
      </c>
      <c r="Z85" s="6">
        <v>45</v>
      </c>
      <c r="AA85" s="6">
        <v>45</v>
      </c>
      <c r="AB85" s="56">
        <f t="shared" si="8"/>
        <v>45</v>
      </c>
      <c r="AC85" s="6">
        <v>43.6</v>
      </c>
      <c r="AD85" s="6">
        <v>44.6</v>
      </c>
      <c r="AE85" s="56">
        <f t="shared" si="10"/>
        <v>44.1</v>
      </c>
      <c r="AF85" s="14" t="s">
        <v>378</v>
      </c>
      <c r="AG85" s="14" t="s">
        <v>639</v>
      </c>
      <c r="AH85" s="14" t="s">
        <v>314</v>
      </c>
      <c r="AI85" s="14" t="s">
        <v>640</v>
      </c>
      <c r="AJ85" s="14" t="s">
        <v>641</v>
      </c>
      <c r="AK85" s="14" t="s">
        <v>175</v>
      </c>
      <c r="AM85" s="11" t="s">
        <v>378</v>
      </c>
      <c r="AN85" s="11" t="s">
        <v>175</v>
      </c>
      <c r="AP85" s="1" t="s">
        <v>639</v>
      </c>
      <c r="AQ85" s="1" t="s">
        <v>314</v>
      </c>
      <c r="AR85" s="6">
        <v>5</v>
      </c>
      <c r="AS85" s="6" t="s">
        <v>640</v>
      </c>
      <c r="AT85" s="6" t="s">
        <v>641</v>
      </c>
      <c r="AU85" s="6">
        <v>5</v>
      </c>
      <c r="AV85" s="36"/>
      <c r="AW85" s="36"/>
      <c r="AX85" s="36"/>
      <c r="AY85" s="36"/>
      <c r="AZ85" s="36"/>
      <c r="BB85" s="24" t="s">
        <v>642</v>
      </c>
      <c r="BC85" s="24" t="str">
        <f t="shared" si="13"/>
        <v>Not Obese</v>
      </c>
      <c r="BE85" s="1" t="s">
        <v>643</v>
      </c>
    </row>
    <row r="86" spans="1:57" ht="20.100000000000001" customHeight="1">
      <c r="A86" s="29" t="s">
        <v>644</v>
      </c>
      <c r="B86" s="8">
        <v>45517</v>
      </c>
      <c r="C86" s="1" t="s">
        <v>75</v>
      </c>
      <c r="D86" s="6">
        <v>21</v>
      </c>
      <c r="G86" s="6" t="s">
        <v>63</v>
      </c>
      <c r="H86" s="33" t="str">
        <f t="shared" si="14"/>
        <v>Yes</v>
      </c>
      <c r="I86" s="33">
        <v>71.599999999999994</v>
      </c>
      <c r="J86" s="6">
        <v>29.1</v>
      </c>
      <c r="K86" s="6">
        <v>13.5</v>
      </c>
      <c r="L86" s="6">
        <v>1584</v>
      </c>
      <c r="M86" s="6">
        <v>27.7</v>
      </c>
      <c r="N86" s="6">
        <v>34.299999999999997</v>
      </c>
      <c r="O86" s="6">
        <v>20.2</v>
      </c>
      <c r="P86" s="6">
        <v>45.2</v>
      </c>
      <c r="Q86" s="6">
        <v>20</v>
      </c>
      <c r="R86" s="6">
        <v>26</v>
      </c>
      <c r="S86" s="6">
        <v>18</v>
      </c>
      <c r="T86" s="6">
        <v>26.5</v>
      </c>
      <c r="U86" s="6">
        <v>25.4</v>
      </c>
      <c r="V86" s="6">
        <v>61</v>
      </c>
      <c r="W86" s="6">
        <v>36.799999999999997</v>
      </c>
      <c r="X86" s="6">
        <v>37.200000000000003</v>
      </c>
      <c r="Y86" s="56">
        <f t="shared" si="9"/>
        <v>37</v>
      </c>
      <c r="Z86" s="6">
        <v>44.5</v>
      </c>
      <c r="AA86" s="6">
        <v>44.6</v>
      </c>
      <c r="AB86" s="56">
        <f t="shared" si="8"/>
        <v>44.55</v>
      </c>
      <c r="AC86" s="6">
        <v>40.200000000000003</v>
      </c>
      <c r="AD86" s="6">
        <v>44.8</v>
      </c>
      <c r="AE86" s="56">
        <f t="shared" si="10"/>
        <v>42.5</v>
      </c>
      <c r="AF86" s="14" t="s">
        <v>645</v>
      </c>
      <c r="AG86" s="14" t="s">
        <v>646</v>
      </c>
      <c r="AH86" s="14" t="s">
        <v>647</v>
      </c>
      <c r="AI86" s="14" t="s">
        <v>648</v>
      </c>
      <c r="AJ86" s="14" t="s">
        <v>375</v>
      </c>
      <c r="AK86" s="14" t="s">
        <v>649</v>
      </c>
      <c r="AM86" s="11" t="s">
        <v>650</v>
      </c>
      <c r="AP86" s="1" t="s">
        <v>646</v>
      </c>
      <c r="AQ86" s="1" t="s">
        <v>647</v>
      </c>
      <c r="AR86" s="6">
        <v>5</v>
      </c>
      <c r="AS86" s="6" t="s">
        <v>648</v>
      </c>
      <c r="AT86" s="6" t="s">
        <v>640</v>
      </c>
      <c r="AU86" s="6">
        <v>5</v>
      </c>
      <c r="AV86" s="36"/>
      <c r="AW86" s="36"/>
      <c r="AX86" s="36"/>
      <c r="AY86" s="36"/>
      <c r="AZ86" s="36"/>
      <c r="BB86" s="24" t="s">
        <v>651</v>
      </c>
      <c r="BC86" s="24" t="str">
        <f t="shared" si="13"/>
        <v>Obese</v>
      </c>
      <c r="BE86" s="1" t="s">
        <v>652</v>
      </c>
    </row>
    <row r="87" spans="1:57" ht="140.1" customHeight="1">
      <c r="A87" s="29" t="s">
        <v>653</v>
      </c>
      <c r="B87" s="8">
        <v>45521</v>
      </c>
      <c r="C87" s="1" t="s">
        <v>117</v>
      </c>
      <c r="D87" s="6">
        <v>21</v>
      </c>
      <c r="G87" s="6" t="s">
        <v>85</v>
      </c>
      <c r="H87" s="33" t="str">
        <f t="shared" si="14"/>
        <v>Yes</v>
      </c>
      <c r="I87" s="33">
        <v>56.8</v>
      </c>
      <c r="J87" s="6">
        <v>37.9</v>
      </c>
      <c r="K87" s="6">
        <v>8.5</v>
      </c>
      <c r="L87" s="6">
        <v>1183</v>
      </c>
      <c r="M87" s="6">
        <v>21.2</v>
      </c>
      <c r="N87" s="6">
        <v>22.8</v>
      </c>
      <c r="O87" s="6">
        <v>15.4</v>
      </c>
      <c r="P87" s="6">
        <v>33.9</v>
      </c>
      <c r="Q87" s="6">
        <v>31.1</v>
      </c>
      <c r="R87" s="6">
        <v>49.3</v>
      </c>
      <c r="S87" s="6">
        <v>28.2</v>
      </c>
      <c r="T87" s="6">
        <v>41.4</v>
      </c>
      <c r="U87" s="6">
        <v>24.6</v>
      </c>
      <c r="V87" s="6">
        <v>68</v>
      </c>
      <c r="W87" s="6">
        <v>38.299999999999997</v>
      </c>
      <c r="X87" s="6">
        <v>38.200000000000003</v>
      </c>
      <c r="Y87" s="56">
        <f t="shared" si="9"/>
        <v>38.25</v>
      </c>
      <c r="Z87" s="6">
        <v>44.4</v>
      </c>
      <c r="AA87" s="6">
        <v>44.9</v>
      </c>
      <c r="AB87" s="56">
        <f t="shared" si="8"/>
        <v>44.65</v>
      </c>
      <c r="AC87" s="6">
        <v>41</v>
      </c>
      <c r="AD87" s="6">
        <v>42</v>
      </c>
      <c r="AE87" s="56">
        <f t="shared" si="10"/>
        <v>41.5</v>
      </c>
      <c r="AF87" s="14" t="s">
        <v>654</v>
      </c>
      <c r="AG87" s="14" t="s">
        <v>379</v>
      </c>
      <c r="AH87" s="14" t="s">
        <v>171</v>
      </c>
      <c r="AI87" s="14" t="s">
        <v>387</v>
      </c>
      <c r="AJ87" s="14" t="s">
        <v>371</v>
      </c>
      <c r="AK87" s="14" t="s">
        <v>382</v>
      </c>
      <c r="AL87" s="20" t="s">
        <v>655</v>
      </c>
      <c r="AM87" s="11" t="s">
        <v>654</v>
      </c>
      <c r="AN87" s="11" t="s">
        <v>382</v>
      </c>
      <c r="AP87" s="1" t="s">
        <v>379</v>
      </c>
      <c r="AQ87" s="1" t="s">
        <v>171</v>
      </c>
      <c r="AR87" s="6">
        <v>5</v>
      </c>
      <c r="AS87" s="6" t="s">
        <v>381</v>
      </c>
      <c r="AT87" s="6" t="s">
        <v>371</v>
      </c>
      <c r="AU87" s="6">
        <v>5</v>
      </c>
      <c r="AV87" s="36"/>
      <c r="AW87" s="36"/>
      <c r="AX87" s="36"/>
      <c r="AY87" s="36"/>
      <c r="AZ87" s="36"/>
      <c r="BB87" s="24" t="s">
        <v>656</v>
      </c>
      <c r="BC87" s="24" t="str">
        <f t="shared" si="13"/>
        <v>Not Obese</v>
      </c>
      <c r="BE87" s="1" t="s">
        <v>657</v>
      </c>
    </row>
    <row r="88" spans="1:57" ht="20.100000000000001" customHeight="1">
      <c r="A88" s="29" t="s">
        <v>658</v>
      </c>
      <c r="B88" s="8">
        <v>45521</v>
      </c>
      <c r="C88" s="1" t="s">
        <v>62</v>
      </c>
      <c r="D88" s="6">
        <v>26</v>
      </c>
      <c r="G88" s="6" t="s">
        <v>85</v>
      </c>
      <c r="H88" s="33" t="str">
        <f t="shared" si="14"/>
        <v>Yes</v>
      </c>
      <c r="I88" s="33">
        <v>61.3</v>
      </c>
      <c r="J88" s="6">
        <v>34.200000000000003</v>
      </c>
      <c r="K88" s="6">
        <v>7</v>
      </c>
      <c r="L88" s="6">
        <v>1272</v>
      </c>
      <c r="M88" s="6">
        <v>23.8</v>
      </c>
      <c r="N88" s="6">
        <v>24.9</v>
      </c>
      <c r="O88" s="6">
        <v>18.100000000000001</v>
      </c>
      <c r="P88" s="6">
        <v>36.700000000000003</v>
      </c>
      <c r="Q88" s="6">
        <v>29.7</v>
      </c>
      <c r="R88" s="6">
        <v>46.3</v>
      </c>
      <c r="S88" s="6">
        <v>26</v>
      </c>
      <c r="T88" s="6">
        <v>41.2</v>
      </c>
      <c r="U88" s="6">
        <v>25.2</v>
      </c>
      <c r="V88" s="6">
        <v>50</v>
      </c>
      <c r="W88" s="6">
        <v>39.700000000000003</v>
      </c>
      <c r="X88" s="6">
        <v>39.700000000000003</v>
      </c>
      <c r="Y88" s="56">
        <f t="shared" si="9"/>
        <v>39.700000000000003</v>
      </c>
      <c r="Z88" s="6">
        <v>47.2</v>
      </c>
      <c r="AA88" s="6">
        <v>48.2</v>
      </c>
      <c r="AB88" s="56">
        <f t="shared" si="8"/>
        <v>47.7</v>
      </c>
      <c r="AC88" s="6">
        <v>40</v>
      </c>
      <c r="AD88" s="6">
        <v>41</v>
      </c>
      <c r="AE88" s="56">
        <f t="shared" si="10"/>
        <v>40.5</v>
      </c>
      <c r="AF88" s="14" t="s">
        <v>659</v>
      </c>
      <c r="AG88" s="14" t="s">
        <v>660</v>
      </c>
      <c r="AH88" s="14" t="s">
        <v>385</v>
      </c>
      <c r="AI88" s="14" t="s">
        <v>291</v>
      </c>
      <c r="AJ88" s="14" t="s">
        <v>381</v>
      </c>
      <c r="AK88" s="14" t="s">
        <v>661</v>
      </c>
      <c r="AM88" s="11" t="s">
        <v>662</v>
      </c>
      <c r="AN88" s="11" t="s">
        <v>661</v>
      </c>
      <c r="AP88" s="1" t="s">
        <v>660</v>
      </c>
      <c r="AQ88" s="1" t="s">
        <v>385</v>
      </c>
      <c r="AR88" s="6">
        <v>5</v>
      </c>
      <c r="AS88" s="6" t="s">
        <v>291</v>
      </c>
      <c r="AT88" s="6" t="s">
        <v>381</v>
      </c>
      <c r="AU88" s="6">
        <v>4</v>
      </c>
      <c r="AV88" s="36"/>
      <c r="AW88" s="36"/>
      <c r="AX88" s="36"/>
      <c r="AY88" s="36"/>
      <c r="AZ88" s="36"/>
      <c r="BC88" s="24" t="str">
        <f t="shared" si="13"/>
        <v>Obese</v>
      </c>
      <c r="BE88" s="1" t="s">
        <v>663</v>
      </c>
    </row>
    <row r="89" spans="1:57" ht="120" customHeight="1">
      <c r="A89" s="29" t="s">
        <v>664</v>
      </c>
      <c r="B89" s="8">
        <v>45521</v>
      </c>
      <c r="C89" s="1" t="s">
        <v>84</v>
      </c>
      <c r="D89" s="6">
        <v>23</v>
      </c>
      <c r="G89" s="6" t="s">
        <v>85</v>
      </c>
      <c r="H89" s="33" t="str">
        <f t="shared" si="14"/>
        <v>Yes</v>
      </c>
      <c r="I89" s="33">
        <v>59.1</v>
      </c>
      <c r="J89" s="6">
        <v>39</v>
      </c>
      <c r="K89" s="6">
        <v>7.5</v>
      </c>
      <c r="L89" s="6">
        <v>1214</v>
      </c>
      <c r="M89" s="6">
        <v>21.2</v>
      </c>
      <c r="N89" s="6">
        <v>22.3</v>
      </c>
      <c r="O89" s="6">
        <v>15.6</v>
      </c>
      <c r="P89" s="6">
        <v>33.6</v>
      </c>
      <c r="Q89" s="6">
        <v>31.4</v>
      </c>
      <c r="R89" s="6">
        <v>51.4</v>
      </c>
      <c r="S89" s="6">
        <v>28.8</v>
      </c>
      <c r="T89" s="6">
        <v>43.5</v>
      </c>
      <c r="U89" s="6">
        <v>24.3</v>
      </c>
      <c r="V89" s="6">
        <v>65</v>
      </c>
      <c r="W89" s="6">
        <v>38.1</v>
      </c>
      <c r="X89" s="6">
        <v>38.6</v>
      </c>
      <c r="Y89" s="56">
        <f t="shared" si="9"/>
        <v>38.35</v>
      </c>
      <c r="Z89" s="6">
        <v>44.4</v>
      </c>
      <c r="AA89" s="6">
        <v>44.6</v>
      </c>
      <c r="AB89" s="56">
        <f t="shared" ref="AB89:AB152" si="15">AVERAGE(Z89,AA89)</f>
        <v>44.5</v>
      </c>
      <c r="AC89" s="6">
        <v>41.8</v>
      </c>
      <c r="AD89" s="6">
        <v>41.4</v>
      </c>
      <c r="AE89" s="56">
        <f t="shared" si="10"/>
        <v>41.599999999999994</v>
      </c>
      <c r="AF89" s="14" t="s">
        <v>317</v>
      </c>
      <c r="AG89" s="14" t="s">
        <v>196</v>
      </c>
      <c r="AH89" s="14" t="s">
        <v>197</v>
      </c>
      <c r="AI89" s="14" t="s">
        <v>198</v>
      </c>
      <c r="AJ89" s="14" t="s">
        <v>192</v>
      </c>
      <c r="AK89" s="14" t="s">
        <v>193</v>
      </c>
      <c r="AL89" s="20" t="s">
        <v>665</v>
      </c>
      <c r="AM89" s="11" t="s">
        <v>666</v>
      </c>
      <c r="AN89" s="11" t="s">
        <v>193</v>
      </c>
      <c r="AP89" s="1" t="s">
        <v>196</v>
      </c>
      <c r="AQ89" s="1" t="s">
        <v>197</v>
      </c>
      <c r="AR89" s="6">
        <v>5</v>
      </c>
      <c r="AS89" s="6" t="s">
        <v>198</v>
      </c>
      <c r="AT89" s="6" t="s">
        <v>192</v>
      </c>
      <c r="AU89" s="6">
        <v>5</v>
      </c>
      <c r="AV89" s="36"/>
      <c r="AW89" s="36"/>
      <c r="AX89" s="36"/>
      <c r="AY89" s="36"/>
      <c r="AZ89" s="36"/>
      <c r="BB89" s="24" t="s">
        <v>667</v>
      </c>
      <c r="BC89" s="24" t="str">
        <f t="shared" si="13"/>
        <v>Not Obese</v>
      </c>
      <c r="BE89" s="1" t="s">
        <v>668</v>
      </c>
    </row>
    <row r="90" spans="1:57" ht="39.950000000000003" customHeight="1">
      <c r="A90" s="29" t="s">
        <v>669</v>
      </c>
      <c r="B90" s="8">
        <v>45521</v>
      </c>
      <c r="C90" s="1" t="s">
        <v>75</v>
      </c>
      <c r="D90" s="6">
        <v>22</v>
      </c>
      <c r="G90" s="6" t="s">
        <v>85</v>
      </c>
      <c r="H90" s="33" t="str">
        <f t="shared" si="14"/>
        <v>No</v>
      </c>
      <c r="I90" s="33">
        <v>50.2</v>
      </c>
      <c r="J90" s="6">
        <v>24.8</v>
      </c>
      <c r="K90" s="6">
        <v>3.5</v>
      </c>
      <c r="L90" s="6">
        <v>1139</v>
      </c>
      <c r="M90" s="6">
        <v>27.4</v>
      </c>
      <c r="N90" s="6">
        <v>31.5</v>
      </c>
      <c r="O90" s="6">
        <v>21.8</v>
      </c>
      <c r="P90" s="6">
        <v>40.5</v>
      </c>
      <c r="Q90" s="6">
        <v>21.9</v>
      </c>
      <c r="R90" s="6">
        <v>34.299999999999997</v>
      </c>
      <c r="S90" s="6">
        <v>17.5</v>
      </c>
      <c r="T90" s="6">
        <v>29.2</v>
      </c>
      <c r="U90" s="6">
        <v>20.9</v>
      </c>
      <c r="V90" s="6">
        <v>43</v>
      </c>
      <c r="W90" s="6">
        <v>35.1</v>
      </c>
      <c r="X90" s="6">
        <v>34.299999999999997</v>
      </c>
      <c r="Y90" s="56">
        <f t="shared" ref="Y90:Y93" si="16">AVERAGE(W90,X90)</f>
        <v>34.700000000000003</v>
      </c>
      <c r="Z90" s="6">
        <v>44.5</v>
      </c>
      <c r="AA90" s="6">
        <v>44.2</v>
      </c>
      <c r="AB90" s="56">
        <f t="shared" si="15"/>
        <v>44.35</v>
      </c>
      <c r="AC90" s="6">
        <v>41.5</v>
      </c>
      <c r="AD90" s="6">
        <v>41.3</v>
      </c>
      <c r="AE90" s="56">
        <f t="shared" si="10"/>
        <v>41.4</v>
      </c>
      <c r="AF90" s="14" t="s">
        <v>670</v>
      </c>
      <c r="AG90" s="14" t="s">
        <v>190</v>
      </c>
      <c r="AH90" s="14" t="s">
        <v>129</v>
      </c>
      <c r="AI90" s="14" t="s">
        <v>328</v>
      </c>
      <c r="AJ90" s="14" t="s">
        <v>215</v>
      </c>
      <c r="AK90" s="14" t="s">
        <v>216</v>
      </c>
      <c r="AL90" s="20" t="s">
        <v>671</v>
      </c>
      <c r="AM90" s="11" t="s">
        <v>670</v>
      </c>
      <c r="AN90" s="11" t="s">
        <v>672</v>
      </c>
      <c r="AP90" s="1" t="s">
        <v>397</v>
      </c>
      <c r="AQ90" s="1" t="s">
        <v>129</v>
      </c>
      <c r="AR90" s="6">
        <v>5</v>
      </c>
      <c r="AS90" s="6" t="s">
        <v>214</v>
      </c>
      <c r="AT90" s="6" t="s">
        <v>215</v>
      </c>
      <c r="AU90" s="6">
        <v>5</v>
      </c>
      <c r="AV90" s="36"/>
      <c r="AW90" s="36"/>
      <c r="AX90" s="36"/>
      <c r="AY90" s="36"/>
      <c r="AZ90" s="36"/>
      <c r="BB90" s="24" t="s">
        <v>673</v>
      </c>
      <c r="BC90" s="24" t="str">
        <f t="shared" si="13"/>
        <v>Not Obese</v>
      </c>
      <c r="BE90" s="1" t="s">
        <v>674</v>
      </c>
    </row>
    <row r="91" spans="1:57" ht="20.100000000000001" customHeight="1">
      <c r="A91" s="29" t="s">
        <v>675</v>
      </c>
      <c r="B91" s="8">
        <v>45522</v>
      </c>
      <c r="C91" s="1" t="s">
        <v>117</v>
      </c>
      <c r="D91" s="54">
        <v>17</v>
      </c>
      <c r="E91" s="54">
        <v>21</v>
      </c>
      <c r="F91" s="54">
        <v>19</v>
      </c>
      <c r="G91" s="6" t="s">
        <v>63</v>
      </c>
      <c r="H91" s="33" t="str">
        <f t="shared" si="14"/>
        <v>Yes</v>
      </c>
      <c r="I91" s="33">
        <v>65.400000000000006</v>
      </c>
      <c r="J91" s="6">
        <v>27</v>
      </c>
      <c r="K91" s="6">
        <v>5</v>
      </c>
      <c r="L91" s="6">
        <v>1514</v>
      </c>
      <c r="M91" s="6">
        <v>31.4</v>
      </c>
      <c r="N91" s="6">
        <v>38</v>
      </c>
      <c r="O91" s="6">
        <v>23.6</v>
      </c>
      <c r="P91" s="6">
        <v>48.7</v>
      </c>
      <c r="Q91" s="6">
        <v>17.8</v>
      </c>
      <c r="R91" s="6">
        <v>25.7</v>
      </c>
      <c r="S91" s="6">
        <v>15.5</v>
      </c>
      <c r="T91" s="6">
        <v>25.9</v>
      </c>
      <c r="U91" s="6">
        <v>20.399999999999999</v>
      </c>
      <c r="V91" s="6">
        <v>38</v>
      </c>
      <c r="W91" s="6">
        <v>39.700000000000003</v>
      </c>
      <c r="X91" s="6">
        <v>39.1</v>
      </c>
      <c r="Y91" s="56">
        <f t="shared" si="16"/>
        <v>39.400000000000006</v>
      </c>
      <c r="Z91" s="6">
        <v>50</v>
      </c>
      <c r="AA91" s="6">
        <v>49.6</v>
      </c>
      <c r="AB91" s="56">
        <f t="shared" si="15"/>
        <v>49.8</v>
      </c>
      <c r="AC91" s="6">
        <v>53.8</v>
      </c>
      <c r="AD91" s="6">
        <v>52.2</v>
      </c>
      <c r="AE91" s="56">
        <f t="shared" si="10"/>
        <v>53</v>
      </c>
      <c r="AF91" s="14" t="s">
        <v>676</v>
      </c>
      <c r="AG91" s="14" t="s">
        <v>408</v>
      </c>
      <c r="AH91" s="14" t="s">
        <v>409</v>
      </c>
      <c r="AI91" s="14" t="s">
        <v>316</v>
      </c>
      <c r="AJ91" s="14" t="s">
        <v>214</v>
      </c>
      <c r="AK91" s="14" t="s">
        <v>194</v>
      </c>
      <c r="AL91" s="1" t="s">
        <v>677</v>
      </c>
      <c r="AM91" s="11" t="s">
        <v>676</v>
      </c>
      <c r="AN91" s="11" t="s">
        <v>410</v>
      </c>
      <c r="AP91" s="1" t="s">
        <v>408</v>
      </c>
      <c r="AQ91" s="1" t="s">
        <v>409</v>
      </c>
      <c r="AR91" s="6">
        <v>5</v>
      </c>
      <c r="AS91" s="6" t="s">
        <v>316</v>
      </c>
      <c r="AT91" s="6" t="s">
        <v>214</v>
      </c>
      <c r="AU91" s="6">
        <v>5</v>
      </c>
      <c r="AV91" s="36"/>
      <c r="AW91" s="36"/>
      <c r="AX91" s="36"/>
      <c r="AY91" s="36"/>
      <c r="AZ91" s="36"/>
      <c r="BB91" s="52" t="s">
        <v>678</v>
      </c>
      <c r="BC91" s="24" t="str">
        <f t="shared" si="13"/>
        <v>Not Obese</v>
      </c>
      <c r="BE91" s="1" t="s">
        <v>679</v>
      </c>
    </row>
    <row r="92" spans="1:57" ht="20.100000000000001" customHeight="1">
      <c r="A92" s="29" t="s">
        <v>680</v>
      </c>
      <c r="B92" s="8">
        <v>45522</v>
      </c>
      <c r="C92" s="1" t="s">
        <v>62</v>
      </c>
      <c r="D92" s="6">
        <v>23</v>
      </c>
      <c r="G92" s="6" t="s">
        <v>63</v>
      </c>
      <c r="H92" s="33" t="str">
        <f t="shared" si="14"/>
        <v>Yes</v>
      </c>
      <c r="I92" s="33">
        <v>78.099999999999994</v>
      </c>
      <c r="J92" s="6">
        <v>26.9</v>
      </c>
      <c r="K92" s="6">
        <v>10.5</v>
      </c>
      <c r="L92" s="6">
        <v>1712</v>
      </c>
      <c r="M92" s="6">
        <v>30.5</v>
      </c>
      <c r="N92" s="6">
        <v>37</v>
      </c>
      <c r="O92" s="6">
        <v>23</v>
      </c>
      <c r="P92" s="6">
        <v>47.9</v>
      </c>
      <c r="Q92" s="6">
        <v>18.600000000000001</v>
      </c>
      <c r="R92" s="6">
        <v>25.4</v>
      </c>
      <c r="S92" s="6">
        <v>16.7</v>
      </c>
      <c r="T92" s="6">
        <v>25.5</v>
      </c>
      <c r="U92" s="6">
        <v>25.5</v>
      </c>
      <c r="V92" s="6">
        <v>50</v>
      </c>
      <c r="W92" s="6">
        <v>41.7</v>
      </c>
      <c r="X92" s="6">
        <v>41.5</v>
      </c>
      <c r="Y92" s="56">
        <f t="shared" si="16"/>
        <v>41.6</v>
      </c>
      <c r="Z92" s="6">
        <v>46.6</v>
      </c>
      <c r="AA92" s="6">
        <v>47.7</v>
      </c>
      <c r="AB92" s="56">
        <f t="shared" si="15"/>
        <v>47.150000000000006</v>
      </c>
      <c r="AC92" s="6">
        <v>49.5</v>
      </c>
      <c r="AD92" s="6">
        <v>49.9</v>
      </c>
      <c r="AE92" s="56">
        <f t="shared" si="10"/>
        <v>49.7</v>
      </c>
      <c r="AF92" s="14" t="s">
        <v>306</v>
      </c>
      <c r="AG92" s="14" t="s">
        <v>409</v>
      </c>
      <c r="AH92" s="14" t="s">
        <v>454</v>
      </c>
      <c r="AI92" s="14" t="s">
        <v>214</v>
      </c>
      <c r="AJ92" s="14" t="s">
        <v>215</v>
      </c>
      <c r="AK92" s="14" t="s">
        <v>591</v>
      </c>
      <c r="AL92" s="1" t="s">
        <v>681</v>
      </c>
      <c r="AM92" s="11" t="s">
        <v>306</v>
      </c>
      <c r="AN92" s="11" t="s">
        <v>216</v>
      </c>
      <c r="AP92" s="1" t="s">
        <v>409</v>
      </c>
      <c r="AQ92" s="1" t="s">
        <v>454</v>
      </c>
      <c r="AR92" s="6">
        <v>5</v>
      </c>
      <c r="AS92" s="6" t="s">
        <v>214</v>
      </c>
      <c r="AT92" s="6" t="s">
        <v>215</v>
      </c>
      <c r="AU92" s="6">
        <v>5</v>
      </c>
      <c r="AV92" s="36"/>
      <c r="AW92" s="36"/>
      <c r="AX92" s="36"/>
      <c r="AY92" s="36"/>
      <c r="AZ92" s="36"/>
      <c r="BB92" s="24" t="s">
        <v>682</v>
      </c>
      <c r="BC92" s="24" t="str">
        <f t="shared" si="13"/>
        <v>Obese</v>
      </c>
      <c r="BE92" s="1" t="s">
        <v>683</v>
      </c>
    </row>
    <row r="93" spans="1:57" ht="60" customHeight="1">
      <c r="A93" s="29" t="s">
        <v>684</v>
      </c>
      <c r="B93" s="8">
        <v>45522</v>
      </c>
      <c r="C93" s="1" t="s">
        <v>84</v>
      </c>
      <c r="D93" s="54">
        <v>25</v>
      </c>
      <c r="E93" s="54">
        <v>26</v>
      </c>
      <c r="F93" s="54">
        <v>31</v>
      </c>
      <c r="G93" s="6" t="s">
        <v>63</v>
      </c>
      <c r="H93" s="33" t="str">
        <f t="shared" si="14"/>
        <v>Yes</v>
      </c>
      <c r="I93" s="33">
        <v>80.3</v>
      </c>
      <c r="J93" s="6">
        <v>29.4</v>
      </c>
      <c r="K93" s="6">
        <v>14</v>
      </c>
      <c r="L93" s="6">
        <v>1729</v>
      </c>
      <c r="M93" s="6">
        <v>29</v>
      </c>
      <c r="N93" s="6">
        <v>35.4</v>
      </c>
      <c r="O93" s="6">
        <v>21.1</v>
      </c>
      <c r="P93" s="6">
        <v>46.4</v>
      </c>
      <c r="Q93" s="6">
        <v>20.5</v>
      </c>
      <c r="R93" s="6">
        <v>27.8</v>
      </c>
      <c r="S93" s="6">
        <v>18.7</v>
      </c>
      <c r="T93" s="6">
        <v>28.2</v>
      </c>
      <c r="U93" s="6">
        <v>27.8</v>
      </c>
      <c r="V93" s="6">
        <v>55</v>
      </c>
      <c r="W93" s="6">
        <v>43.2</v>
      </c>
      <c r="X93" s="6">
        <v>41.9</v>
      </c>
      <c r="Y93" s="56">
        <f t="shared" si="16"/>
        <v>42.55</v>
      </c>
      <c r="Z93" s="6">
        <v>52.1</v>
      </c>
      <c r="AA93" s="6">
        <v>50.5</v>
      </c>
      <c r="AB93" s="56">
        <f t="shared" si="15"/>
        <v>51.3</v>
      </c>
      <c r="AC93" s="6">
        <v>50.6</v>
      </c>
      <c r="AD93" s="6">
        <v>48.5</v>
      </c>
      <c r="AE93" s="56">
        <f t="shared" si="10"/>
        <v>49.55</v>
      </c>
      <c r="AF93" s="14" t="s">
        <v>91</v>
      </c>
      <c r="AG93" s="14" t="s">
        <v>322</v>
      </c>
      <c r="AH93" s="14" t="s">
        <v>685</v>
      </c>
      <c r="AI93" s="14" t="s">
        <v>324</v>
      </c>
      <c r="AJ93" s="14" t="s">
        <v>203</v>
      </c>
      <c r="AK93" s="14" t="s">
        <v>339</v>
      </c>
      <c r="AL93" s="20" t="s">
        <v>686</v>
      </c>
      <c r="AM93" s="11" t="s">
        <v>418</v>
      </c>
      <c r="AN93" s="11" t="s">
        <v>340</v>
      </c>
      <c r="AP93" s="1" t="s">
        <v>322</v>
      </c>
      <c r="AQ93" s="1" t="s">
        <v>87</v>
      </c>
      <c r="AR93" s="6">
        <v>5</v>
      </c>
      <c r="AS93" s="6" t="s">
        <v>324</v>
      </c>
      <c r="AT93" s="6" t="s">
        <v>203</v>
      </c>
      <c r="AU93" s="6">
        <v>4</v>
      </c>
      <c r="AV93" s="36"/>
      <c r="AW93" s="36"/>
      <c r="AX93" s="36"/>
      <c r="AY93" s="36"/>
      <c r="AZ93" s="36"/>
      <c r="BB93" s="52" t="s">
        <v>687</v>
      </c>
      <c r="BC93" s="24" t="str">
        <f t="shared" si="13"/>
        <v>Obese</v>
      </c>
      <c r="BD93" s="1" t="s">
        <v>688</v>
      </c>
      <c r="BE93" s="1" t="s">
        <v>689</v>
      </c>
    </row>
    <row r="94" spans="1:57" ht="99.95" customHeight="1">
      <c r="A94" s="29" t="s">
        <v>690</v>
      </c>
      <c r="B94" s="8">
        <v>45522</v>
      </c>
      <c r="C94" s="1" t="s">
        <v>75</v>
      </c>
      <c r="D94" s="54">
        <v>26</v>
      </c>
      <c r="E94" s="54">
        <v>28</v>
      </c>
      <c r="F94" s="54">
        <v>30</v>
      </c>
      <c r="G94" s="6" t="s">
        <v>63</v>
      </c>
      <c r="H94" s="33" t="str">
        <f t="shared" si="14"/>
        <v>Yes</v>
      </c>
      <c r="I94" s="33">
        <v>72.3</v>
      </c>
      <c r="J94" s="6">
        <v>25.9</v>
      </c>
      <c r="K94" s="6">
        <v>10.5</v>
      </c>
      <c r="L94" s="6">
        <v>1619</v>
      </c>
      <c r="M94" s="6">
        <v>30</v>
      </c>
      <c r="N94" s="6">
        <v>36.200000000000003</v>
      </c>
      <c r="O94" s="6">
        <v>22.9</v>
      </c>
      <c r="P94" s="6">
        <v>47.4</v>
      </c>
      <c r="Q94" s="6">
        <v>17.8</v>
      </c>
      <c r="R94" s="6">
        <v>23.6</v>
      </c>
      <c r="S94" s="6">
        <v>15.9</v>
      </c>
      <c r="T94" s="6">
        <v>23.8</v>
      </c>
      <c r="U94" s="6">
        <v>24.4</v>
      </c>
      <c r="V94" s="6">
        <v>52</v>
      </c>
      <c r="W94" s="6">
        <v>40.4</v>
      </c>
      <c r="X94" s="6">
        <v>40.799999999999997</v>
      </c>
      <c r="Y94" s="56">
        <f t="shared" ref="Y94:Y157" si="17">AVERAGE(W94,X94)</f>
        <v>40.599999999999994</v>
      </c>
      <c r="Z94" s="6">
        <v>45.8</v>
      </c>
      <c r="AA94" s="6">
        <v>47.1</v>
      </c>
      <c r="AB94" s="56">
        <f t="shared" si="15"/>
        <v>46.45</v>
      </c>
      <c r="AC94" s="6">
        <v>45.6</v>
      </c>
      <c r="AD94" s="6">
        <v>44.7</v>
      </c>
      <c r="AE94" s="56">
        <f t="shared" si="10"/>
        <v>45.150000000000006</v>
      </c>
      <c r="AF94" s="14" t="s">
        <v>691</v>
      </c>
      <c r="AG94" s="14" t="s">
        <v>370</v>
      </c>
      <c r="AH94" s="14" t="s">
        <v>197</v>
      </c>
      <c r="AI94" s="14" t="s">
        <v>355</v>
      </c>
      <c r="AJ94" s="14" t="s">
        <v>579</v>
      </c>
      <c r="AK94" s="14" t="s">
        <v>692</v>
      </c>
      <c r="AM94" s="11" t="s">
        <v>354</v>
      </c>
      <c r="AN94" s="11" t="s">
        <v>693</v>
      </c>
      <c r="AP94" s="1" t="s">
        <v>370</v>
      </c>
      <c r="AQ94" s="1" t="s">
        <v>197</v>
      </c>
      <c r="AR94" s="6">
        <v>6</v>
      </c>
      <c r="AS94" s="6" t="s">
        <v>355</v>
      </c>
      <c r="AT94" s="6" t="s">
        <v>579</v>
      </c>
      <c r="AU94" s="6">
        <v>5</v>
      </c>
      <c r="AV94" s="36"/>
      <c r="AW94" s="36"/>
      <c r="AX94" s="36"/>
      <c r="AY94" s="36"/>
      <c r="AZ94" s="36"/>
      <c r="BB94" s="24" t="s">
        <v>694</v>
      </c>
      <c r="BC94" s="24" t="str">
        <f t="shared" si="13"/>
        <v>Not Obese</v>
      </c>
      <c r="BD94" s="1" t="s">
        <v>688</v>
      </c>
      <c r="BE94" s="1" t="s">
        <v>695</v>
      </c>
    </row>
    <row r="95" spans="1:57" ht="20.100000000000001" customHeight="1">
      <c r="A95" s="29" t="s">
        <v>696</v>
      </c>
      <c r="B95" s="8">
        <v>45524</v>
      </c>
      <c r="C95" s="1" t="s">
        <v>117</v>
      </c>
      <c r="D95" s="6">
        <v>29</v>
      </c>
      <c r="G95" s="6" t="s">
        <v>85</v>
      </c>
      <c r="H95" s="33" t="str">
        <f t="shared" si="14"/>
        <v>No</v>
      </c>
      <c r="I95" s="33">
        <v>55.2</v>
      </c>
      <c r="J95" s="6">
        <v>27.7</v>
      </c>
      <c r="K95" s="6">
        <v>3.5</v>
      </c>
      <c r="L95" s="6">
        <v>1207</v>
      </c>
      <c r="M95" s="6">
        <v>26.6</v>
      </c>
      <c r="N95" s="6">
        <v>29.5</v>
      </c>
      <c r="O95" s="6">
        <v>20.8</v>
      </c>
      <c r="P95" s="6">
        <v>39.1</v>
      </c>
      <c r="Q95" s="6">
        <v>23.2</v>
      </c>
      <c r="R95" s="6">
        <v>37.9</v>
      </c>
      <c r="S95" s="6">
        <v>19.399999999999999</v>
      </c>
      <c r="T95" s="6">
        <v>31.8</v>
      </c>
      <c r="U95" s="6">
        <v>20.8</v>
      </c>
      <c r="V95" s="6">
        <v>46</v>
      </c>
      <c r="W95" s="6">
        <v>39.200000000000003</v>
      </c>
      <c r="X95" s="6">
        <v>39.6</v>
      </c>
      <c r="Y95" s="56">
        <f t="shared" si="17"/>
        <v>39.400000000000006</v>
      </c>
      <c r="Z95" s="6">
        <v>46.7</v>
      </c>
      <c r="AA95" s="6">
        <v>46.1</v>
      </c>
      <c r="AB95" s="56">
        <f t="shared" si="15"/>
        <v>46.400000000000006</v>
      </c>
      <c r="AC95" s="6">
        <v>42.4</v>
      </c>
      <c r="AD95" s="6">
        <v>42.9</v>
      </c>
      <c r="AE95" s="56">
        <f t="shared" si="10"/>
        <v>42.65</v>
      </c>
      <c r="AF95" s="14" t="s">
        <v>337</v>
      </c>
      <c r="AG95" s="14" t="s">
        <v>359</v>
      </c>
      <c r="AH95" s="14" t="s">
        <v>360</v>
      </c>
      <c r="AI95" s="14" t="s">
        <v>325</v>
      </c>
      <c r="AJ95" s="14" t="s">
        <v>203</v>
      </c>
      <c r="AK95" s="14" t="s">
        <v>340</v>
      </c>
      <c r="AL95" s="1" t="s">
        <v>697</v>
      </c>
      <c r="AM95" s="11" t="s">
        <v>337</v>
      </c>
      <c r="AN95" s="11" t="s">
        <v>340</v>
      </c>
      <c r="AP95" s="1" t="s">
        <v>359</v>
      </c>
      <c r="AQ95" s="1" t="s">
        <v>360</v>
      </c>
      <c r="AR95" s="6">
        <v>5</v>
      </c>
      <c r="AS95" s="6" t="s">
        <v>325</v>
      </c>
      <c r="AT95" s="6" t="s">
        <v>203</v>
      </c>
      <c r="AU95" s="6">
        <v>5</v>
      </c>
      <c r="AV95" s="36"/>
      <c r="AW95" s="36"/>
      <c r="AX95" s="36"/>
      <c r="AY95" s="36"/>
      <c r="AZ95" s="36"/>
      <c r="BC95" s="24" t="str">
        <f t="shared" si="13"/>
        <v>Not Obese</v>
      </c>
      <c r="BE95" s="1" t="s">
        <v>698</v>
      </c>
    </row>
    <row r="96" spans="1:57" ht="20.100000000000001" customHeight="1">
      <c r="A96" s="29" t="s">
        <v>699</v>
      </c>
      <c r="B96" s="8">
        <v>45524</v>
      </c>
      <c r="C96" s="1" t="s">
        <v>62</v>
      </c>
      <c r="D96" s="6">
        <v>22</v>
      </c>
      <c r="G96" s="6" t="s">
        <v>85</v>
      </c>
      <c r="H96" s="33" t="str">
        <f t="shared" si="14"/>
        <v>Yes</v>
      </c>
      <c r="I96" s="33">
        <v>47.9</v>
      </c>
      <c r="J96" s="6">
        <v>35.200000000000003</v>
      </c>
      <c r="K96" s="6">
        <v>3</v>
      </c>
      <c r="L96" s="6">
        <v>1064</v>
      </c>
      <c r="M96" s="6">
        <v>22.8</v>
      </c>
      <c r="N96" s="6">
        <v>26.6</v>
      </c>
      <c r="O96" s="6">
        <v>18</v>
      </c>
      <c r="P96" s="6">
        <v>33.4</v>
      </c>
      <c r="Q96" s="6">
        <v>26.1</v>
      </c>
      <c r="R96" s="6">
        <v>47.1</v>
      </c>
      <c r="S96" s="6">
        <v>24</v>
      </c>
      <c r="T96" s="6">
        <v>37.700000000000003</v>
      </c>
      <c r="U96" s="6">
        <v>19.7</v>
      </c>
      <c r="V96" s="6">
        <v>45</v>
      </c>
      <c r="W96" s="6">
        <f>64.5-29.1</f>
        <v>35.4</v>
      </c>
      <c r="X96" s="6">
        <f>64.2-28.6</f>
        <v>35.6</v>
      </c>
      <c r="Y96" s="56">
        <f t="shared" si="17"/>
        <v>35.5</v>
      </c>
      <c r="Z96" s="6">
        <v>47.2</v>
      </c>
      <c r="AA96" s="6">
        <v>46.1</v>
      </c>
      <c r="AB96" s="56">
        <f t="shared" si="15"/>
        <v>46.650000000000006</v>
      </c>
      <c r="AC96" s="6">
        <v>41.8</v>
      </c>
      <c r="AD96" s="6">
        <v>42.4</v>
      </c>
      <c r="AE96" s="56">
        <f t="shared" ref="AE96:AE159" si="18">AVERAGE(AC96,AD96)</f>
        <v>42.099999999999994</v>
      </c>
      <c r="AF96" s="14" t="s">
        <v>676</v>
      </c>
      <c r="AG96" s="14" t="s">
        <v>349</v>
      </c>
      <c r="AH96" s="14" t="s">
        <v>409</v>
      </c>
      <c r="AI96" s="14" t="s">
        <v>316</v>
      </c>
      <c r="AJ96" s="14" t="s">
        <v>214</v>
      </c>
      <c r="AK96" s="14" t="s">
        <v>194</v>
      </c>
      <c r="AM96" s="11" t="s">
        <v>623</v>
      </c>
      <c r="AN96" s="11" t="s">
        <v>410</v>
      </c>
      <c r="AP96" s="1" t="s">
        <v>349</v>
      </c>
      <c r="AQ96" s="1" t="s">
        <v>624</v>
      </c>
      <c r="AR96" s="6">
        <v>5</v>
      </c>
      <c r="AS96" s="6" t="s">
        <v>316</v>
      </c>
      <c r="AT96" s="6" t="s">
        <v>214</v>
      </c>
      <c r="AU96" s="6">
        <v>5</v>
      </c>
      <c r="AV96" s="36"/>
      <c r="AW96" s="36"/>
      <c r="AX96" s="36"/>
      <c r="AY96" s="36"/>
      <c r="AZ96" s="36"/>
      <c r="BC96" s="24" t="str">
        <f t="shared" si="13"/>
        <v>Not Obese</v>
      </c>
      <c r="BE96" s="1" t="s">
        <v>700</v>
      </c>
    </row>
    <row r="97" spans="1:57" ht="39.950000000000003" customHeight="1">
      <c r="A97" s="29" t="s">
        <v>701</v>
      </c>
      <c r="B97" s="8">
        <v>45524</v>
      </c>
      <c r="C97" s="1" t="s">
        <v>84</v>
      </c>
      <c r="D97" s="6">
        <v>20</v>
      </c>
      <c r="G97" s="6" t="s">
        <v>85</v>
      </c>
      <c r="H97" s="33" t="str">
        <f t="shared" si="14"/>
        <v>No</v>
      </c>
      <c r="I97" s="33">
        <v>60.9</v>
      </c>
      <c r="J97" s="6">
        <v>31.5</v>
      </c>
      <c r="K97" s="6">
        <v>4.5</v>
      </c>
      <c r="L97" s="6">
        <v>1281</v>
      </c>
      <c r="M97" s="6">
        <v>25.4</v>
      </c>
      <c r="N97" s="6">
        <v>26.8</v>
      </c>
      <c r="O97" s="6">
        <v>19.600000000000001</v>
      </c>
      <c r="P97" s="6">
        <v>37.9</v>
      </c>
      <c r="Q97" s="6">
        <v>26.5</v>
      </c>
      <c r="R97" s="6">
        <v>43</v>
      </c>
      <c r="S97" s="6">
        <v>22.9</v>
      </c>
      <c r="T97" s="6">
        <v>37.200000000000003</v>
      </c>
      <c r="U97" s="6">
        <v>22.6</v>
      </c>
      <c r="V97" s="6">
        <v>46</v>
      </c>
      <c r="W97" s="6">
        <f>60-19.6</f>
        <v>40.4</v>
      </c>
      <c r="X97" s="6">
        <f>59-21</f>
        <v>38</v>
      </c>
      <c r="Y97" s="56">
        <f t="shared" si="17"/>
        <v>39.200000000000003</v>
      </c>
      <c r="Z97" s="6">
        <v>45.5</v>
      </c>
      <c r="AA97" s="6">
        <v>45.2</v>
      </c>
      <c r="AB97" s="56">
        <f t="shared" si="15"/>
        <v>45.35</v>
      </c>
      <c r="AC97" s="6">
        <v>41.4</v>
      </c>
      <c r="AD97" s="6">
        <v>41.6</v>
      </c>
      <c r="AE97" s="56">
        <f t="shared" si="18"/>
        <v>41.5</v>
      </c>
      <c r="AF97" s="14" t="s">
        <v>567</v>
      </c>
      <c r="AG97" s="14" t="s">
        <v>454</v>
      </c>
      <c r="AH97" s="14" t="s">
        <v>222</v>
      </c>
      <c r="AI97" s="14" t="s">
        <v>138</v>
      </c>
      <c r="AJ97" s="14" t="s">
        <v>132</v>
      </c>
      <c r="AK97" s="14" t="s">
        <v>133</v>
      </c>
      <c r="AL97" s="1" t="s">
        <v>702</v>
      </c>
      <c r="AM97" s="11" t="s">
        <v>703</v>
      </c>
      <c r="AN97" s="11" t="s">
        <v>133</v>
      </c>
      <c r="AP97" s="1" t="s">
        <v>454</v>
      </c>
      <c r="AQ97" s="1" t="s">
        <v>222</v>
      </c>
      <c r="AR97" s="6">
        <v>5</v>
      </c>
      <c r="AS97" s="6" t="s">
        <v>138</v>
      </c>
      <c r="AT97" s="6" t="s">
        <v>132</v>
      </c>
      <c r="AU97" s="6">
        <v>5</v>
      </c>
      <c r="AV97" s="36"/>
      <c r="AW97" s="36"/>
      <c r="AX97" s="36"/>
      <c r="AY97" s="36"/>
      <c r="AZ97" s="36"/>
      <c r="BB97" s="24" t="s">
        <v>704</v>
      </c>
      <c r="BC97" s="24" t="str">
        <f t="shared" si="13"/>
        <v>Not Obese</v>
      </c>
      <c r="BE97" s="1" t="s">
        <v>705</v>
      </c>
    </row>
    <row r="98" spans="1:57" ht="20.100000000000001" customHeight="1">
      <c r="A98" s="29" t="s">
        <v>706</v>
      </c>
      <c r="B98" s="8">
        <v>45524</v>
      </c>
      <c r="C98" s="1" t="s">
        <v>75</v>
      </c>
      <c r="D98" s="6">
        <v>28</v>
      </c>
      <c r="G98" s="6" t="s">
        <v>85</v>
      </c>
      <c r="H98" s="33" t="str">
        <f t="shared" si="14"/>
        <v>No</v>
      </c>
      <c r="I98" s="33">
        <v>55.3</v>
      </c>
      <c r="J98" s="6">
        <v>26.4</v>
      </c>
      <c r="K98" s="6">
        <v>3</v>
      </c>
      <c r="L98" s="6">
        <v>1216</v>
      </c>
      <c r="M98" s="6">
        <v>27.4</v>
      </c>
      <c r="N98" s="6">
        <v>30.5</v>
      </c>
      <c r="O98" s="6">
        <v>21.6</v>
      </c>
      <c r="P98" s="6">
        <v>39.799999999999997</v>
      </c>
      <c r="Q98" s="6">
        <v>22.2</v>
      </c>
      <c r="R98" s="6">
        <v>36.5</v>
      </c>
      <c r="S98" s="6">
        <v>18.3</v>
      </c>
      <c r="T98" s="6">
        <v>30.7</v>
      </c>
      <c r="U98" s="6">
        <v>20.3</v>
      </c>
      <c r="V98" s="6">
        <v>42</v>
      </c>
      <c r="W98" s="6">
        <f>58.6-21.7</f>
        <v>36.900000000000006</v>
      </c>
      <c r="X98" s="6">
        <f>58.3-22.2</f>
        <v>36.099999999999994</v>
      </c>
      <c r="Y98" s="56">
        <f t="shared" si="17"/>
        <v>36.5</v>
      </c>
      <c r="Z98" s="6">
        <v>44.2</v>
      </c>
      <c r="AA98" s="6">
        <v>44.6</v>
      </c>
      <c r="AB98" s="56">
        <f t="shared" si="15"/>
        <v>44.400000000000006</v>
      </c>
      <c r="AC98" s="6">
        <v>45.4</v>
      </c>
      <c r="AD98" s="6">
        <v>44.3</v>
      </c>
      <c r="AE98" s="56">
        <f t="shared" si="18"/>
        <v>44.849999999999994</v>
      </c>
      <c r="AF98" s="14" t="s">
        <v>707</v>
      </c>
      <c r="AG98" s="14" t="s">
        <v>708</v>
      </c>
      <c r="AH98" s="14" t="s">
        <v>709</v>
      </c>
      <c r="AI98" s="14" t="s">
        <v>710</v>
      </c>
      <c r="AJ98" s="14" t="s">
        <v>711</v>
      </c>
      <c r="AK98" s="14" t="s">
        <v>712</v>
      </c>
      <c r="AM98" s="11" t="s">
        <v>707</v>
      </c>
      <c r="AN98" s="11" t="s">
        <v>712</v>
      </c>
      <c r="AP98" s="1" t="s">
        <v>708</v>
      </c>
      <c r="AQ98" s="1" t="s">
        <v>709</v>
      </c>
      <c r="AR98" s="6">
        <v>5</v>
      </c>
      <c r="AS98" s="6" t="s">
        <v>710</v>
      </c>
      <c r="AT98" s="6" t="s">
        <v>711</v>
      </c>
      <c r="AU98" s="6">
        <v>5</v>
      </c>
      <c r="AV98" s="36"/>
      <c r="AW98" s="36"/>
      <c r="AX98" s="36"/>
      <c r="AY98" s="36"/>
      <c r="AZ98" s="36"/>
      <c r="BC98" s="24" t="str">
        <f t="shared" si="13"/>
        <v>Not Obese</v>
      </c>
      <c r="BE98" s="1" t="s">
        <v>713</v>
      </c>
    </row>
    <row r="99" spans="1:57" ht="20.100000000000001" customHeight="1">
      <c r="A99" s="29" t="s">
        <v>714</v>
      </c>
      <c r="B99" s="8">
        <v>45528</v>
      </c>
      <c r="C99" s="1" t="s">
        <v>117</v>
      </c>
      <c r="D99" s="6">
        <v>25</v>
      </c>
      <c r="G99" s="6" t="s">
        <v>85</v>
      </c>
      <c r="H99" s="33" t="str">
        <f t="shared" si="14"/>
        <v>Yes</v>
      </c>
      <c r="I99" s="33">
        <v>63.8</v>
      </c>
      <c r="J99" s="6">
        <v>32.700000000000003</v>
      </c>
      <c r="K99" s="6">
        <v>6</v>
      </c>
      <c r="L99" s="6">
        <v>1320</v>
      </c>
      <c r="M99" s="6">
        <v>25</v>
      </c>
      <c r="N99" s="6">
        <v>25.7</v>
      </c>
      <c r="O99" s="6">
        <v>18.8</v>
      </c>
      <c r="P99" s="6">
        <v>37.799999999999997</v>
      </c>
      <c r="Q99" s="6">
        <v>27.8</v>
      </c>
      <c r="R99" s="6">
        <v>43.7</v>
      </c>
      <c r="S99" s="6">
        <v>24.2</v>
      </c>
      <c r="T99" s="6">
        <v>37.700000000000003</v>
      </c>
      <c r="U99" s="6">
        <v>23.7</v>
      </c>
      <c r="V99" s="6">
        <v>54</v>
      </c>
      <c r="W99" s="6">
        <f>62.2-21.1</f>
        <v>41.1</v>
      </c>
      <c r="X99" s="6">
        <f>61.7-21.2</f>
        <v>40.5</v>
      </c>
      <c r="Y99" s="56">
        <f t="shared" si="17"/>
        <v>40.799999999999997</v>
      </c>
      <c r="Z99" s="6">
        <v>45.3</v>
      </c>
      <c r="AA99" s="6">
        <v>46.1</v>
      </c>
      <c r="AB99" s="56">
        <f t="shared" si="15"/>
        <v>45.7</v>
      </c>
      <c r="AC99" s="6">
        <v>43.5</v>
      </c>
      <c r="AD99" s="6">
        <v>43.8</v>
      </c>
      <c r="AE99" s="56">
        <f t="shared" si="18"/>
        <v>43.65</v>
      </c>
      <c r="AF99" s="14" t="s">
        <v>623</v>
      </c>
      <c r="AG99" s="14" t="s">
        <v>349</v>
      </c>
      <c r="AH99" s="14" t="s">
        <v>624</v>
      </c>
      <c r="AI99" s="14" t="s">
        <v>579</v>
      </c>
      <c r="AJ99" s="14" t="s">
        <v>214</v>
      </c>
      <c r="AK99" s="14" t="s">
        <v>410</v>
      </c>
      <c r="AL99" s="1" t="s">
        <v>715</v>
      </c>
      <c r="AM99" s="11" t="s">
        <v>623</v>
      </c>
      <c r="AN99" s="11" t="s">
        <v>410</v>
      </c>
      <c r="AP99" s="1" t="s">
        <v>349</v>
      </c>
      <c r="AQ99" s="1" t="s">
        <v>624</v>
      </c>
      <c r="AR99" s="6">
        <v>5</v>
      </c>
      <c r="AS99" s="6" t="s">
        <v>579</v>
      </c>
      <c r="AT99" s="6" t="s">
        <v>214</v>
      </c>
      <c r="AU99" s="6">
        <v>4</v>
      </c>
      <c r="AV99" s="36"/>
      <c r="AW99" s="36"/>
      <c r="AX99" s="36"/>
      <c r="AY99" s="36"/>
      <c r="AZ99" s="36"/>
      <c r="BB99" s="24" t="s">
        <v>716</v>
      </c>
      <c r="BC99" s="24" t="str">
        <f t="shared" si="13"/>
        <v>Not Obese</v>
      </c>
      <c r="BE99" s="1" t="s">
        <v>717</v>
      </c>
    </row>
    <row r="100" spans="1:57" ht="20.100000000000001" customHeight="1">
      <c r="A100" s="29" t="s">
        <v>718</v>
      </c>
      <c r="B100" s="8">
        <v>45528</v>
      </c>
      <c r="C100" s="1" t="s">
        <v>62</v>
      </c>
      <c r="D100" s="6">
        <v>18</v>
      </c>
      <c r="G100" s="6" t="s">
        <v>85</v>
      </c>
      <c r="H100" s="33" t="str">
        <f t="shared" si="14"/>
        <v>Yes</v>
      </c>
      <c r="I100" s="33">
        <v>65.599999999999994</v>
      </c>
      <c r="J100" s="6">
        <v>32.1</v>
      </c>
      <c r="K100" s="6">
        <v>6.5</v>
      </c>
      <c r="L100" s="6">
        <v>1354</v>
      </c>
      <c r="M100" s="6">
        <v>25.8</v>
      </c>
      <c r="N100" s="6">
        <v>26.3</v>
      </c>
      <c r="O100" s="6">
        <v>18.899999999999999</v>
      </c>
      <c r="P100" s="6">
        <v>39.4</v>
      </c>
      <c r="Q100" s="6">
        <v>28</v>
      </c>
      <c r="R100" s="6">
        <v>41.9</v>
      </c>
      <c r="S100" s="6">
        <v>24.1</v>
      </c>
      <c r="T100" s="6">
        <v>35.700000000000003</v>
      </c>
      <c r="U100" s="6">
        <v>24.4</v>
      </c>
      <c r="V100" s="6">
        <v>60</v>
      </c>
      <c r="W100" s="6">
        <v>37.299999999999997</v>
      </c>
      <c r="X100" s="6">
        <v>38</v>
      </c>
      <c r="Y100" s="56">
        <f t="shared" si="17"/>
        <v>37.65</v>
      </c>
      <c r="Z100" s="6">
        <v>46.9</v>
      </c>
      <c r="AA100" s="6">
        <v>46.9</v>
      </c>
      <c r="AB100" s="56">
        <f t="shared" si="15"/>
        <v>46.9</v>
      </c>
      <c r="AC100" s="6">
        <v>42.4</v>
      </c>
      <c r="AD100" s="6">
        <v>41.2</v>
      </c>
      <c r="AE100" s="56">
        <f t="shared" si="18"/>
        <v>41.8</v>
      </c>
      <c r="AF100" s="14" t="s">
        <v>424</v>
      </c>
      <c r="AG100" s="14" t="s">
        <v>386</v>
      </c>
      <c r="AH100" s="14" t="s">
        <v>370</v>
      </c>
      <c r="AI100" s="14" t="s">
        <v>375</v>
      </c>
      <c r="AJ100" s="14" t="s">
        <v>355</v>
      </c>
      <c r="AK100" s="14" t="s">
        <v>372</v>
      </c>
      <c r="AL100" s="1" t="s">
        <v>719</v>
      </c>
      <c r="AM100" s="11" t="s">
        <v>170</v>
      </c>
      <c r="AN100" s="11" t="s">
        <v>372</v>
      </c>
      <c r="AP100" s="1" t="s">
        <v>386</v>
      </c>
      <c r="AQ100" s="1" t="s">
        <v>370</v>
      </c>
      <c r="AR100" s="6">
        <v>5</v>
      </c>
      <c r="AS100" s="6" t="s">
        <v>375</v>
      </c>
      <c r="AT100" s="6" t="s">
        <v>355</v>
      </c>
      <c r="AU100" s="6">
        <v>5</v>
      </c>
      <c r="AV100" s="36"/>
      <c r="AW100" s="36"/>
      <c r="AX100" s="36"/>
      <c r="AY100" s="36"/>
      <c r="AZ100" s="36"/>
      <c r="BB100" s="24" t="s">
        <v>720</v>
      </c>
      <c r="BC100" s="24" t="str">
        <f t="shared" si="13"/>
        <v>Not Obese</v>
      </c>
      <c r="BE100" s="1" t="s">
        <v>721</v>
      </c>
    </row>
    <row r="101" spans="1:57" ht="140.1" customHeight="1">
      <c r="A101" s="29" t="s">
        <v>722</v>
      </c>
      <c r="B101" s="8">
        <v>45528</v>
      </c>
      <c r="C101" s="1" t="s">
        <v>84</v>
      </c>
      <c r="D101" s="6">
        <v>32</v>
      </c>
      <c r="G101" s="6" t="s">
        <v>85</v>
      </c>
      <c r="H101" s="33" t="str">
        <f t="shared" si="14"/>
        <v>Yes</v>
      </c>
      <c r="I101" s="33">
        <v>51.1</v>
      </c>
      <c r="J101" s="6">
        <v>39.200000000000003</v>
      </c>
      <c r="K101" s="6">
        <v>6</v>
      </c>
      <c r="L101" s="6">
        <v>1094</v>
      </c>
      <c r="M101" s="6">
        <v>20.7</v>
      </c>
      <c r="N101" s="6">
        <v>23.5</v>
      </c>
      <c r="O101" s="6">
        <v>15.8</v>
      </c>
      <c r="P101" s="6">
        <v>32.200000000000003</v>
      </c>
      <c r="Q101" s="6">
        <v>30.3</v>
      </c>
      <c r="R101" s="6">
        <v>51.9</v>
      </c>
      <c r="S101" s="6">
        <v>28.2</v>
      </c>
      <c r="T101" s="6">
        <v>43.1</v>
      </c>
      <c r="U101" s="6">
        <v>22.7</v>
      </c>
      <c r="V101" s="6">
        <v>55</v>
      </c>
      <c r="W101" s="6">
        <v>38.4</v>
      </c>
      <c r="X101" s="6">
        <v>38.5</v>
      </c>
      <c r="Y101" s="56">
        <f t="shared" si="17"/>
        <v>38.450000000000003</v>
      </c>
      <c r="Z101" s="6">
        <v>46.2</v>
      </c>
      <c r="AA101" s="6">
        <v>46</v>
      </c>
      <c r="AB101" s="56">
        <f t="shared" si="15"/>
        <v>46.1</v>
      </c>
      <c r="AC101" s="6">
        <v>43.2</v>
      </c>
      <c r="AD101" s="6">
        <v>44.5</v>
      </c>
      <c r="AE101" s="56">
        <f t="shared" si="18"/>
        <v>43.85</v>
      </c>
      <c r="AF101" s="14" t="s">
        <v>723</v>
      </c>
      <c r="AG101" s="14" t="s">
        <v>338</v>
      </c>
      <c r="AH101" s="14" t="s">
        <v>108</v>
      </c>
      <c r="AI101" s="14" t="s">
        <v>419</v>
      </c>
      <c r="AJ101" s="14" t="s">
        <v>110</v>
      </c>
      <c r="AK101" s="14" t="s">
        <v>459</v>
      </c>
      <c r="AL101" s="20" t="s">
        <v>724</v>
      </c>
      <c r="AM101" s="11" t="s">
        <v>723</v>
      </c>
      <c r="AN101" s="11" t="s">
        <v>303</v>
      </c>
      <c r="AP101" s="1" t="s">
        <v>87</v>
      </c>
      <c r="AQ101" s="1" t="s">
        <v>108</v>
      </c>
      <c r="AR101" s="6">
        <v>6</v>
      </c>
      <c r="AS101" s="6" t="s">
        <v>302</v>
      </c>
      <c r="AT101" s="6" t="s">
        <v>110</v>
      </c>
      <c r="AU101" s="6">
        <v>5</v>
      </c>
      <c r="AV101" s="36"/>
      <c r="AW101" s="36"/>
      <c r="AX101" s="36"/>
      <c r="AY101" s="36"/>
      <c r="AZ101" s="36"/>
      <c r="BB101" s="52" t="s">
        <v>725</v>
      </c>
      <c r="BC101" s="24" t="str">
        <f t="shared" si="13"/>
        <v>Not Obese</v>
      </c>
      <c r="BE101" s="1" t="s">
        <v>726</v>
      </c>
    </row>
    <row r="102" spans="1:57" ht="39.950000000000003" customHeight="1">
      <c r="A102" s="29" t="s">
        <v>727</v>
      </c>
      <c r="B102" s="8">
        <v>45528</v>
      </c>
      <c r="C102" s="1" t="s">
        <v>75</v>
      </c>
      <c r="D102" s="6">
        <v>17</v>
      </c>
      <c r="G102" s="6" t="s">
        <v>85</v>
      </c>
      <c r="H102" s="33" t="str">
        <f t="shared" si="14"/>
        <v>Yes</v>
      </c>
      <c r="I102" s="33">
        <v>59.2</v>
      </c>
      <c r="J102" s="6">
        <v>40</v>
      </c>
      <c r="K102" s="6">
        <v>9</v>
      </c>
      <c r="L102" s="6">
        <v>1210</v>
      </c>
      <c r="M102" s="6">
        <v>20.5</v>
      </c>
      <c r="N102" s="6">
        <v>21.5</v>
      </c>
      <c r="O102" s="6">
        <v>14.8</v>
      </c>
      <c r="P102" s="6">
        <v>32.9</v>
      </c>
      <c r="Q102" s="6">
        <v>32.4</v>
      </c>
      <c r="R102" s="6">
        <v>52.2</v>
      </c>
      <c r="S102" s="6">
        <v>29.8</v>
      </c>
      <c r="T102" s="6">
        <v>44</v>
      </c>
      <c r="U102" s="6">
        <v>25</v>
      </c>
      <c r="V102" s="6">
        <v>71</v>
      </c>
      <c r="W102" s="6">
        <v>41.2</v>
      </c>
      <c r="X102" s="6">
        <v>40.9</v>
      </c>
      <c r="Y102" s="56">
        <f t="shared" si="17"/>
        <v>41.05</v>
      </c>
      <c r="Z102" s="6">
        <v>44.9</v>
      </c>
      <c r="AA102" s="6">
        <v>45.1</v>
      </c>
      <c r="AB102" s="56">
        <f t="shared" si="15"/>
        <v>45</v>
      </c>
      <c r="AC102" s="6">
        <v>41.1</v>
      </c>
      <c r="AD102" s="6">
        <v>42</v>
      </c>
      <c r="AE102" s="56">
        <f t="shared" si="18"/>
        <v>41.55</v>
      </c>
      <c r="AF102" s="14" t="s">
        <v>567</v>
      </c>
      <c r="AG102" s="14" t="s">
        <v>454</v>
      </c>
      <c r="AH102" s="14" t="s">
        <v>359</v>
      </c>
      <c r="AI102" s="14" t="s">
        <v>215</v>
      </c>
      <c r="AJ102" s="14" t="s">
        <v>325</v>
      </c>
      <c r="AK102" s="14" t="s">
        <v>225</v>
      </c>
      <c r="AL102" s="20"/>
      <c r="AM102" s="11" t="s">
        <v>567</v>
      </c>
      <c r="AN102" s="11" t="s">
        <v>568</v>
      </c>
      <c r="AP102" s="1" t="s">
        <v>631</v>
      </c>
      <c r="AQ102" s="1" t="s">
        <v>359</v>
      </c>
      <c r="AR102" s="6">
        <v>5</v>
      </c>
      <c r="AS102" s="6" t="s">
        <v>323</v>
      </c>
      <c r="AT102" s="6" t="s">
        <v>325</v>
      </c>
      <c r="AU102" s="6">
        <v>5</v>
      </c>
      <c r="AV102" s="36"/>
      <c r="AW102" s="36"/>
      <c r="AX102" s="36"/>
      <c r="AY102" s="36"/>
      <c r="AZ102" s="36"/>
      <c r="BB102" s="24" t="s">
        <v>728</v>
      </c>
      <c r="BC102" s="24" t="str">
        <f t="shared" si="13"/>
        <v>Obese</v>
      </c>
      <c r="BE102" s="1" t="s">
        <v>729</v>
      </c>
    </row>
    <row r="103" spans="1:57" ht="39.950000000000003" customHeight="1">
      <c r="A103" s="29" t="s">
        <v>730</v>
      </c>
      <c r="B103" s="8">
        <v>45529</v>
      </c>
      <c r="C103" s="1" t="s">
        <v>117</v>
      </c>
      <c r="D103" s="148">
        <v>32</v>
      </c>
      <c r="E103" s="148"/>
      <c r="F103" s="148"/>
      <c r="G103" s="6" t="s">
        <v>85</v>
      </c>
      <c r="H103" s="33" t="str">
        <f t="shared" si="14"/>
        <v>Yes</v>
      </c>
      <c r="I103" s="33">
        <v>82.8</v>
      </c>
      <c r="J103" s="6">
        <v>38.799999999999997</v>
      </c>
      <c r="K103" s="6">
        <v>11.5</v>
      </c>
      <c r="L103" s="6">
        <v>1576</v>
      </c>
      <c r="M103" s="6">
        <v>23</v>
      </c>
      <c r="N103" s="6">
        <v>19.2</v>
      </c>
      <c r="O103" s="6">
        <v>16</v>
      </c>
      <c r="P103" s="6">
        <v>36.700000000000003</v>
      </c>
      <c r="Q103" s="6">
        <v>35.5</v>
      </c>
      <c r="R103" s="6">
        <v>52</v>
      </c>
      <c r="S103" s="6">
        <v>31.4</v>
      </c>
      <c r="T103" s="6">
        <v>48.6</v>
      </c>
      <c r="U103" s="6">
        <v>30</v>
      </c>
      <c r="V103" s="6">
        <v>61</v>
      </c>
      <c r="W103" s="6">
        <v>46.6</v>
      </c>
      <c r="X103" s="6">
        <v>46.7</v>
      </c>
      <c r="Y103" s="56">
        <f t="shared" si="17"/>
        <v>46.650000000000006</v>
      </c>
      <c r="Z103" s="6">
        <v>50</v>
      </c>
      <c r="AA103" s="6">
        <v>49.7</v>
      </c>
      <c r="AB103" s="56">
        <f t="shared" si="15"/>
        <v>49.85</v>
      </c>
      <c r="AC103" s="6">
        <v>45.2</v>
      </c>
      <c r="AD103" s="6">
        <v>45.1</v>
      </c>
      <c r="AE103" s="56">
        <f t="shared" si="18"/>
        <v>45.150000000000006</v>
      </c>
      <c r="AF103" s="14" t="s">
        <v>415</v>
      </c>
      <c r="AG103" s="14" t="s">
        <v>624</v>
      </c>
      <c r="AH103" s="14" t="s">
        <v>631</v>
      </c>
      <c r="AI103" s="14" t="s">
        <v>214</v>
      </c>
      <c r="AJ103" s="14" t="s">
        <v>215</v>
      </c>
      <c r="AK103" s="14" t="s">
        <v>591</v>
      </c>
      <c r="AM103" s="11" t="s">
        <v>415</v>
      </c>
      <c r="AN103" s="11" t="s">
        <v>216</v>
      </c>
      <c r="AP103" s="1" t="s">
        <v>624</v>
      </c>
      <c r="AQ103" s="1" t="s">
        <v>631</v>
      </c>
      <c r="AR103" s="6">
        <v>5</v>
      </c>
      <c r="AS103" s="6" t="s">
        <v>214</v>
      </c>
      <c r="AT103" s="6" t="s">
        <v>215</v>
      </c>
      <c r="AU103" s="6">
        <v>5</v>
      </c>
      <c r="AV103" s="36"/>
      <c r="AW103" s="36"/>
      <c r="AX103" s="36"/>
      <c r="AY103" s="36"/>
      <c r="AZ103" s="36"/>
      <c r="BB103" s="52" t="s">
        <v>731</v>
      </c>
      <c r="BC103" s="24" t="str">
        <f t="shared" si="13"/>
        <v>Obese</v>
      </c>
      <c r="BE103" s="1" t="s">
        <v>732</v>
      </c>
    </row>
    <row r="104" spans="1:57" ht="80.099999999999994" customHeight="1">
      <c r="A104" s="29" t="s">
        <v>733</v>
      </c>
      <c r="B104" s="8">
        <v>45529</v>
      </c>
      <c r="C104" s="1" t="s">
        <v>62</v>
      </c>
      <c r="D104" s="54">
        <v>31</v>
      </c>
      <c r="E104" s="54">
        <v>37</v>
      </c>
      <c r="F104" s="54">
        <v>36</v>
      </c>
      <c r="G104" s="6" t="s">
        <v>63</v>
      </c>
      <c r="H104" s="33" t="str">
        <f t="shared" si="14"/>
        <v>Yes</v>
      </c>
      <c r="I104" s="33">
        <v>81.900000000000006</v>
      </c>
      <c r="J104" s="6">
        <v>28.6</v>
      </c>
      <c r="K104" s="6">
        <v>12</v>
      </c>
      <c r="L104" s="6">
        <v>1764</v>
      </c>
      <c r="M104" s="6">
        <v>30</v>
      </c>
      <c r="N104" s="6">
        <v>35.6</v>
      </c>
      <c r="O104" s="6">
        <v>22.1</v>
      </c>
      <c r="P104" s="6">
        <v>47.4</v>
      </c>
      <c r="Q104" s="6">
        <v>19.8</v>
      </c>
      <c r="R104" s="6">
        <v>27.4</v>
      </c>
      <c r="S104" s="6">
        <v>17.899999999999999</v>
      </c>
      <c r="T104" s="6">
        <v>27.7</v>
      </c>
      <c r="U104" s="6">
        <v>26.1</v>
      </c>
      <c r="V104" s="6">
        <v>52</v>
      </c>
      <c r="W104" s="6">
        <v>41.4</v>
      </c>
      <c r="X104" s="6">
        <v>40.5</v>
      </c>
      <c r="Y104" s="56">
        <f t="shared" si="17"/>
        <v>40.950000000000003</v>
      </c>
      <c r="Z104" s="6">
        <v>50.4</v>
      </c>
      <c r="AA104" s="6">
        <v>51.1</v>
      </c>
      <c r="AB104" s="56">
        <f t="shared" si="15"/>
        <v>50.75</v>
      </c>
      <c r="AC104" s="6">
        <v>48</v>
      </c>
      <c r="AD104" s="6">
        <v>51</v>
      </c>
      <c r="AE104" s="56">
        <f t="shared" si="18"/>
        <v>49.5</v>
      </c>
      <c r="AF104" s="14" t="s">
        <v>734</v>
      </c>
      <c r="AG104" s="14" t="s">
        <v>735</v>
      </c>
      <c r="AH104" s="14" t="s">
        <v>120</v>
      </c>
      <c r="AI104" s="14" t="s">
        <v>736</v>
      </c>
      <c r="AJ104" s="14" t="s">
        <v>71</v>
      </c>
      <c r="AK104" s="14" t="s">
        <v>90</v>
      </c>
      <c r="AM104" s="11" t="s">
        <v>734</v>
      </c>
      <c r="AN104" s="11" t="s">
        <v>90</v>
      </c>
      <c r="AO104" s="1" t="s">
        <v>737</v>
      </c>
      <c r="AP104" s="1" t="s">
        <v>685</v>
      </c>
      <c r="AQ104" s="1" t="s">
        <v>120</v>
      </c>
      <c r="AR104" s="6">
        <v>6</v>
      </c>
      <c r="AS104" s="6" t="s">
        <v>110</v>
      </c>
      <c r="AT104" s="6" t="s">
        <v>71</v>
      </c>
      <c r="AU104" s="6">
        <v>5</v>
      </c>
      <c r="AV104" s="36"/>
      <c r="AW104" s="36"/>
      <c r="AX104" s="36"/>
      <c r="AY104" s="36"/>
      <c r="AZ104" s="36"/>
      <c r="BB104" s="52" t="s">
        <v>738</v>
      </c>
      <c r="BC104" s="24" t="str">
        <f t="shared" si="13"/>
        <v>Obese</v>
      </c>
      <c r="BE104" s="1" t="s">
        <v>739</v>
      </c>
    </row>
    <row r="105" spans="1:57" ht="99.95" customHeight="1">
      <c r="A105" s="29" t="s">
        <v>740</v>
      </c>
      <c r="B105" s="8">
        <v>45529</v>
      </c>
      <c r="C105" s="1" t="s">
        <v>84</v>
      </c>
      <c r="D105" s="54">
        <v>21</v>
      </c>
      <c r="E105" s="54">
        <v>21</v>
      </c>
      <c r="F105" s="54">
        <v>25</v>
      </c>
      <c r="G105" s="6" t="s">
        <v>63</v>
      </c>
      <c r="H105" s="33" t="str">
        <f t="shared" ref="H105:H136" si="19">IF(OR(AND(G105="Male",J105&gt;=25),AND(G105="Female",J105&gt;=32)),"Yes","No")</f>
        <v>No</v>
      </c>
      <c r="I105" s="33">
        <v>71</v>
      </c>
      <c r="J105" s="6">
        <v>19.7</v>
      </c>
      <c r="K105" s="6">
        <v>8.5</v>
      </c>
      <c r="L105" s="6">
        <v>1637</v>
      </c>
      <c r="M105" s="6">
        <v>33.5</v>
      </c>
      <c r="N105" s="6">
        <v>38.1</v>
      </c>
      <c r="O105" s="6">
        <v>27.2</v>
      </c>
      <c r="P105" s="6">
        <v>50.7</v>
      </c>
      <c r="Q105" s="6">
        <v>13.9</v>
      </c>
      <c r="R105" s="6">
        <v>18.3</v>
      </c>
      <c r="S105" s="6">
        <v>12.3</v>
      </c>
      <c r="T105" s="6">
        <v>18</v>
      </c>
      <c r="U105" s="6">
        <v>23.7</v>
      </c>
      <c r="V105" s="6">
        <v>42</v>
      </c>
      <c r="W105" s="6">
        <v>37.6</v>
      </c>
      <c r="X105" s="6">
        <v>36</v>
      </c>
      <c r="Y105" s="56">
        <f t="shared" si="17"/>
        <v>36.799999999999997</v>
      </c>
      <c r="Z105" s="6">
        <v>45.8</v>
      </c>
      <c r="AA105" s="6">
        <v>44.5</v>
      </c>
      <c r="AB105" s="56">
        <f t="shared" si="15"/>
        <v>45.15</v>
      </c>
      <c r="AC105" s="6">
        <v>46.9</v>
      </c>
      <c r="AD105" s="6">
        <v>47.2</v>
      </c>
      <c r="AE105" s="56">
        <f t="shared" si="18"/>
        <v>47.05</v>
      </c>
      <c r="AF105" s="14" t="s">
        <v>330</v>
      </c>
      <c r="AG105" s="14" t="s">
        <v>196</v>
      </c>
      <c r="AH105" s="14" t="s">
        <v>397</v>
      </c>
      <c r="AI105" s="14" t="s">
        <v>198</v>
      </c>
      <c r="AJ105" s="14" t="s">
        <v>214</v>
      </c>
      <c r="AK105" s="14" t="s">
        <v>194</v>
      </c>
      <c r="AM105" s="11" t="s">
        <v>330</v>
      </c>
      <c r="AN105" s="11" t="s">
        <v>741</v>
      </c>
      <c r="AP105" s="1" t="s">
        <v>189</v>
      </c>
      <c r="AQ105" s="1" t="s">
        <v>190</v>
      </c>
      <c r="AR105" s="6">
        <v>5</v>
      </c>
      <c r="AS105" s="6" t="s">
        <v>198</v>
      </c>
      <c r="AT105" s="6" t="s">
        <v>328</v>
      </c>
      <c r="AU105" s="6">
        <v>6</v>
      </c>
      <c r="AV105" s="36"/>
      <c r="AW105" s="36"/>
      <c r="AX105" s="36"/>
      <c r="AY105" s="36"/>
      <c r="AZ105" s="36"/>
      <c r="BB105" s="52" t="s">
        <v>742</v>
      </c>
      <c r="BC105" s="24" t="str">
        <f t="shared" si="13"/>
        <v>Not Obese</v>
      </c>
      <c r="BE105" s="1" t="s">
        <v>743</v>
      </c>
    </row>
    <row r="106" spans="1:57" ht="39.950000000000003" customHeight="1">
      <c r="A106" s="29" t="s">
        <v>744</v>
      </c>
      <c r="B106" s="8">
        <v>45529</v>
      </c>
      <c r="C106" s="1" t="s">
        <v>75</v>
      </c>
      <c r="D106" s="6">
        <v>29</v>
      </c>
      <c r="G106" s="6" t="s">
        <v>85</v>
      </c>
      <c r="H106" s="33" t="str">
        <f t="shared" si="19"/>
        <v>No</v>
      </c>
      <c r="I106" s="33">
        <v>44.4</v>
      </c>
      <c r="J106" s="6">
        <v>28.5</v>
      </c>
      <c r="K106" s="6">
        <v>4</v>
      </c>
      <c r="L106" s="6">
        <v>1027</v>
      </c>
      <c r="M106" s="6">
        <v>23.9</v>
      </c>
      <c r="N106" s="6">
        <v>28.7</v>
      </c>
      <c r="O106" s="6">
        <v>18.5</v>
      </c>
      <c r="P106" s="6">
        <v>36.1</v>
      </c>
      <c r="Q106" s="6">
        <v>23.3</v>
      </c>
      <c r="R106" s="6">
        <v>37.9</v>
      </c>
      <c r="S106" s="6">
        <v>19.8</v>
      </c>
      <c r="T106" s="6">
        <v>30.5</v>
      </c>
      <c r="U106" s="6">
        <v>20.3</v>
      </c>
      <c r="V106" s="6">
        <v>53</v>
      </c>
      <c r="W106" s="6">
        <v>34.9</v>
      </c>
      <c r="X106" s="6">
        <v>34.4</v>
      </c>
      <c r="Y106" s="56">
        <f t="shared" si="17"/>
        <v>34.65</v>
      </c>
      <c r="Z106" s="6">
        <v>41.5</v>
      </c>
      <c r="AA106" s="6">
        <v>40.1</v>
      </c>
      <c r="AB106" s="56">
        <f t="shared" si="15"/>
        <v>40.799999999999997</v>
      </c>
      <c r="AC106" s="6">
        <v>38.700000000000003</v>
      </c>
      <c r="AD106" s="6">
        <v>38.5</v>
      </c>
      <c r="AE106" s="56">
        <f t="shared" si="18"/>
        <v>38.6</v>
      </c>
      <c r="AF106" s="14" t="s">
        <v>330</v>
      </c>
      <c r="AG106" s="14" t="s">
        <v>196</v>
      </c>
      <c r="AH106" s="14" t="s">
        <v>190</v>
      </c>
      <c r="AI106" s="14" t="s">
        <v>191</v>
      </c>
      <c r="AJ106" s="14" t="s">
        <v>192</v>
      </c>
      <c r="AK106" s="14" t="s">
        <v>352</v>
      </c>
      <c r="AM106" s="11" t="s">
        <v>330</v>
      </c>
      <c r="AN106" s="11" t="s">
        <v>352</v>
      </c>
      <c r="AP106" s="1" t="s">
        <v>189</v>
      </c>
      <c r="AQ106" s="1" t="s">
        <v>190</v>
      </c>
      <c r="AR106" s="6">
        <v>5</v>
      </c>
      <c r="AS106" s="6" t="s">
        <v>198</v>
      </c>
      <c r="AT106" s="6" t="s">
        <v>192</v>
      </c>
      <c r="AU106" s="6">
        <v>5</v>
      </c>
      <c r="AV106" s="36"/>
      <c r="AW106" s="36"/>
      <c r="AX106" s="36"/>
      <c r="AY106" s="36"/>
      <c r="AZ106" s="36"/>
      <c r="BB106" s="24" t="s">
        <v>745</v>
      </c>
      <c r="BC106" s="24" t="str">
        <f t="shared" si="13"/>
        <v>Not Obese</v>
      </c>
      <c r="BE106" s="1" t="s">
        <v>746</v>
      </c>
    </row>
    <row r="107" spans="1:57" ht="20.100000000000001" customHeight="1">
      <c r="A107" s="29" t="s">
        <v>747</v>
      </c>
      <c r="B107" s="8">
        <v>45531</v>
      </c>
      <c r="C107" s="1" t="s">
        <v>117</v>
      </c>
      <c r="D107" s="6">
        <v>21</v>
      </c>
      <c r="G107" s="6" t="s">
        <v>85</v>
      </c>
      <c r="H107" s="33" t="str">
        <f t="shared" si="19"/>
        <v>Yes</v>
      </c>
      <c r="I107" s="33">
        <v>70.400000000000006</v>
      </c>
      <c r="J107" s="6">
        <v>39.200000000000003</v>
      </c>
      <c r="K107" s="6">
        <v>10.5</v>
      </c>
      <c r="L107" s="6">
        <v>1384</v>
      </c>
      <c r="M107" s="6">
        <v>21.9</v>
      </c>
      <c r="N107" s="6">
        <v>20.6</v>
      </c>
      <c r="O107" s="6">
        <v>15.5</v>
      </c>
      <c r="P107" s="6">
        <v>34.799999999999997</v>
      </c>
      <c r="Q107" s="6">
        <v>33.4</v>
      </c>
      <c r="R107" s="6">
        <v>51.6</v>
      </c>
      <c r="S107" s="6">
        <v>30.2</v>
      </c>
      <c r="T107" s="6">
        <v>45.2</v>
      </c>
      <c r="U107" s="6">
        <v>26.8</v>
      </c>
      <c r="V107" s="6">
        <v>71</v>
      </c>
      <c r="W107" s="6">
        <v>41</v>
      </c>
      <c r="X107" s="6">
        <v>41.6</v>
      </c>
      <c r="Y107" s="56">
        <f t="shared" si="17"/>
        <v>41.3</v>
      </c>
      <c r="Z107" s="6">
        <v>49.1</v>
      </c>
      <c r="AA107" s="6">
        <v>52.1</v>
      </c>
      <c r="AB107" s="56">
        <f t="shared" si="15"/>
        <v>50.6</v>
      </c>
      <c r="AC107" s="6">
        <v>44.7</v>
      </c>
      <c r="AD107" s="6">
        <v>42.5</v>
      </c>
      <c r="AE107" s="56">
        <f t="shared" si="18"/>
        <v>43.6</v>
      </c>
      <c r="AF107" s="14" t="s">
        <v>200</v>
      </c>
      <c r="AG107" s="14" t="s">
        <v>433</v>
      </c>
      <c r="AH107" s="14" t="s">
        <v>93</v>
      </c>
      <c r="AI107" s="14" t="s">
        <v>324</v>
      </c>
      <c r="AJ107" s="14" t="s">
        <v>302</v>
      </c>
      <c r="AK107" s="14" t="s">
        <v>345</v>
      </c>
      <c r="AM107" s="11" t="s">
        <v>200</v>
      </c>
      <c r="AN107" s="11" t="s">
        <v>459</v>
      </c>
      <c r="AO107" s="1" t="s">
        <v>748</v>
      </c>
      <c r="AP107" s="1" t="s">
        <v>433</v>
      </c>
      <c r="AQ107" s="1" t="s">
        <v>93</v>
      </c>
      <c r="AR107" s="6">
        <v>5</v>
      </c>
      <c r="AS107" s="6" t="s">
        <v>749</v>
      </c>
      <c r="AT107" s="6" t="s">
        <v>302</v>
      </c>
      <c r="AU107" s="6">
        <v>5</v>
      </c>
      <c r="AV107" s="36"/>
      <c r="AW107" s="36"/>
      <c r="AX107" s="36"/>
      <c r="AY107" s="36"/>
      <c r="AZ107" s="36"/>
      <c r="BB107" s="24" t="s">
        <v>750</v>
      </c>
      <c r="BC107" s="24" t="str">
        <f t="shared" si="13"/>
        <v>Obese</v>
      </c>
      <c r="BE107" s="1" t="s">
        <v>73</v>
      </c>
    </row>
    <row r="108" spans="1:57" ht="20.100000000000001" customHeight="1">
      <c r="A108" s="29" t="s">
        <v>751</v>
      </c>
      <c r="B108" s="8">
        <v>45531</v>
      </c>
      <c r="C108" s="1" t="s">
        <v>62</v>
      </c>
      <c r="D108" s="138">
        <v>23</v>
      </c>
      <c r="E108" s="138"/>
      <c r="F108" s="138"/>
      <c r="G108" s="6" t="s">
        <v>63</v>
      </c>
      <c r="H108" s="33" t="str">
        <f t="shared" si="19"/>
        <v>Yes</v>
      </c>
      <c r="I108" s="33">
        <v>63.4</v>
      </c>
      <c r="J108" s="6">
        <v>30.7</v>
      </c>
      <c r="K108" s="6">
        <v>10</v>
      </c>
      <c r="L108" s="6">
        <v>1447</v>
      </c>
      <c r="M108" s="6">
        <v>26.8</v>
      </c>
      <c r="N108" s="6">
        <v>34.299999999999997</v>
      </c>
      <c r="O108" s="6">
        <v>19.100000000000001</v>
      </c>
      <c r="P108" s="6">
        <v>44.3</v>
      </c>
      <c r="Q108" s="6">
        <v>20.5</v>
      </c>
      <c r="R108" s="6">
        <v>27.3</v>
      </c>
      <c r="S108" s="6">
        <v>18.2</v>
      </c>
      <c r="T108" s="6">
        <v>28</v>
      </c>
      <c r="U108" s="6">
        <v>22.7</v>
      </c>
      <c r="V108" s="6">
        <v>57</v>
      </c>
      <c r="W108" s="6">
        <v>38</v>
      </c>
      <c r="X108" s="6">
        <v>37.4</v>
      </c>
      <c r="Y108" s="56">
        <f t="shared" si="17"/>
        <v>37.700000000000003</v>
      </c>
      <c r="Z108" s="6">
        <v>45.6</v>
      </c>
      <c r="AA108" s="6">
        <v>46.3</v>
      </c>
      <c r="AB108" s="56">
        <f t="shared" si="15"/>
        <v>45.95</v>
      </c>
      <c r="AC108" s="6">
        <v>45.6</v>
      </c>
      <c r="AD108" s="6">
        <v>46.2</v>
      </c>
      <c r="AE108" s="56">
        <f t="shared" si="18"/>
        <v>45.900000000000006</v>
      </c>
      <c r="AF108" s="14" t="s">
        <v>752</v>
      </c>
      <c r="AG108" s="14" t="s">
        <v>108</v>
      </c>
      <c r="AH108" s="14" t="s">
        <v>109</v>
      </c>
      <c r="AI108" s="14" t="s">
        <v>110</v>
      </c>
      <c r="AJ108" s="14" t="s">
        <v>121</v>
      </c>
      <c r="AK108" s="14" t="s">
        <v>753</v>
      </c>
      <c r="AM108" s="11" t="s">
        <v>752</v>
      </c>
      <c r="AN108" s="11" t="s">
        <v>586</v>
      </c>
      <c r="AP108" s="1" t="s">
        <v>94</v>
      </c>
      <c r="AQ108" s="1" t="s">
        <v>109</v>
      </c>
      <c r="AR108" s="6">
        <v>5</v>
      </c>
      <c r="AS108" s="6" t="s">
        <v>242</v>
      </c>
      <c r="AT108" s="6" t="s">
        <v>121</v>
      </c>
      <c r="AU108" s="6">
        <v>5</v>
      </c>
      <c r="AV108" s="36"/>
      <c r="AW108" s="36"/>
      <c r="AX108" s="36"/>
      <c r="AY108" s="36"/>
      <c r="AZ108" s="36"/>
      <c r="BC108" s="24" t="str">
        <f t="shared" si="13"/>
        <v>Not Obese</v>
      </c>
      <c r="BE108" s="1" t="s">
        <v>73</v>
      </c>
    </row>
    <row r="109" spans="1:57" ht="20.100000000000001" customHeight="1">
      <c r="A109" s="29" t="s">
        <v>754</v>
      </c>
      <c r="B109" s="8">
        <v>45531</v>
      </c>
      <c r="C109" s="1" t="s">
        <v>84</v>
      </c>
      <c r="D109" s="6">
        <v>15</v>
      </c>
      <c r="G109" s="6" t="s">
        <v>85</v>
      </c>
      <c r="H109" s="33" t="str">
        <f t="shared" si="19"/>
        <v>Yes</v>
      </c>
      <c r="I109" s="33">
        <v>52.9</v>
      </c>
      <c r="J109" s="6">
        <v>32</v>
      </c>
      <c r="K109" s="6">
        <v>4</v>
      </c>
      <c r="L109" s="6">
        <v>1151</v>
      </c>
      <c r="M109" s="6">
        <v>24.1</v>
      </c>
      <c r="N109" s="6">
        <v>27</v>
      </c>
      <c r="O109" s="6">
        <v>18.5</v>
      </c>
      <c r="P109" s="6">
        <v>36</v>
      </c>
      <c r="Q109" s="6">
        <v>25.1</v>
      </c>
      <c r="R109" s="6">
        <v>42.5</v>
      </c>
      <c r="S109" s="6">
        <v>22.2</v>
      </c>
      <c r="T109" s="6">
        <v>34.200000000000003</v>
      </c>
      <c r="U109" s="6">
        <v>20.399999999999999</v>
      </c>
      <c r="V109" s="6">
        <v>55</v>
      </c>
      <c r="W109" s="6">
        <v>36.799999999999997</v>
      </c>
      <c r="X109" s="6">
        <v>36.9</v>
      </c>
      <c r="Y109" s="56">
        <f t="shared" si="17"/>
        <v>36.849999999999994</v>
      </c>
      <c r="Z109" s="6">
        <v>46</v>
      </c>
      <c r="AA109" s="6">
        <v>46</v>
      </c>
      <c r="AB109" s="56">
        <f t="shared" si="15"/>
        <v>46</v>
      </c>
      <c r="AC109" s="6">
        <v>43.1</v>
      </c>
      <c r="AD109" s="6">
        <v>42.9</v>
      </c>
      <c r="AE109" s="56">
        <f t="shared" si="18"/>
        <v>43</v>
      </c>
      <c r="AF109" s="14" t="s">
        <v>213</v>
      </c>
      <c r="AG109" s="14" t="s">
        <v>349</v>
      </c>
      <c r="AH109" s="14" t="s">
        <v>624</v>
      </c>
      <c r="AI109" s="14" t="s">
        <v>316</v>
      </c>
      <c r="AJ109" s="14" t="s">
        <v>625</v>
      </c>
      <c r="AK109" s="14" t="s">
        <v>410</v>
      </c>
      <c r="AM109" s="11" t="s">
        <v>676</v>
      </c>
      <c r="AN109" s="11" t="s">
        <v>410</v>
      </c>
      <c r="AP109" s="1" t="s">
        <v>408</v>
      </c>
      <c r="AQ109" s="1" t="s">
        <v>409</v>
      </c>
      <c r="AR109" s="6">
        <v>5</v>
      </c>
      <c r="AS109" s="6" t="s">
        <v>579</v>
      </c>
      <c r="AT109" s="6" t="s">
        <v>625</v>
      </c>
      <c r="AU109" s="6">
        <v>5</v>
      </c>
      <c r="AV109" s="36"/>
      <c r="AW109" s="36"/>
      <c r="AX109" s="36"/>
      <c r="AY109" s="26"/>
      <c r="AZ109" s="36"/>
      <c r="BC109" s="24" t="str">
        <f t="shared" si="13"/>
        <v>Not Obese</v>
      </c>
      <c r="BE109" s="1" t="s">
        <v>73</v>
      </c>
    </row>
    <row r="110" spans="1:57" ht="20.100000000000001" customHeight="1">
      <c r="A110" s="29" t="s">
        <v>755</v>
      </c>
      <c r="B110" s="8">
        <v>45531</v>
      </c>
      <c r="C110" s="1" t="s">
        <v>75</v>
      </c>
      <c r="D110" s="6">
        <v>22</v>
      </c>
      <c r="G110" s="6" t="s">
        <v>85</v>
      </c>
      <c r="H110" s="33" t="str">
        <f t="shared" si="19"/>
        <v>Yes</v>
      </c>
      <c r="I110" s="33">
        <v>62.3</v>
      </c>
      <c r="J110" s="6">
        <v>38.799999999999997</v>
      </c>
      <c r="K110" s="6">
        <v>11</v>
      </c>
      <c r="L110" s="6">
        <v>1262</v>
      </c>
      <c r="M110" s="6">
        <v>21.2</v>
      </c>
      <c r="N110" s="6">
        <v>21.6</v>
      </c>
      <c r="O110" s="6">
        <v>15</v>
      </c>
      <c r="P110" s="6">
        <v>34.4</v>
      </c>
      <c r="Q110" s="6">
        <v>33.200000000000003</v>
      </c>
      <c r="R110" s="6">
        <v>50.1</v>
      </c>
      <c r="S110" s="6">
        <v>29.9</v>
      </c>
      <c r="T110" s="6">
        <v>43.2</v>
      </c>
      <c r="U110" s="6">
        <v>27</v>
      </c>
      <c r="V110" s="6">
        <v>73</v>
      </c>
      <c r="W110" s="6">
        <v>39.200000000000003</v>
      </c>
      <c r="X110" s="6">
        <v>39.299999999999997</v>
      </c>
      <c r="Y110" s="56">
        <f t="shared" si="17"/>
        <v>39.25</v>
      </c>
      <c r="Z110" s="6">
        <v>46.8</v>
      </c>
      <c r="AA110" s="6">
        <v>47</v>
      </c>
      <c r="AB110" s="56">
        <f t="shared" si="15"/>
        <v>46.9</v>
      </c>
      <c r="AC110" s="6">
        <v>39.200000000000003</v>
      </c>
      <c r="AD110" s="6">
        <v>37</v>
      </c>
      <c r="AE110" s="56">
        <f t="shared" si="18"/>
        <v>38.1</v>
      </c>
      <c r="AF110" s="14" t="s">
        <v>756</v>
      </c>
      <c r="AG110" s="55" t="s">
        <v>660</v>
      </c>
      <c r="AH110" s="14" t="s">
        <v>385</v>
      </c>
      <c r="AI110" s="14" t="s">
        <v>757</v>
      </c>
      <c r="AJ110" s="14" t="s">
        <v>387</v>
      </c>
      <c r="AK110" s="14" t="s">
        <v>661</v>
      </c>
      <c r="AM110" s="11" t="s">
        <v>758</v>
      </c>
      <c r="AN110" s="11" t="s">
        <v>661</v>
      </c>
      <c r="AP110" s="1" t="s">
        <v>660</v>
      </c>
      <c r="AQ110" s="1" t="s">
        <v>385</v>
      </c>
      <c r="AR110" s="6">
        <v>5</v>
      </c>
      <c r="AS110" s="6" t="s">
        <v>291</v>
      </c>
      <c r="AT110" s="6" t="s">
        <v>387</v>
      </c>
      <c r="AU110" s="6">
        <v>5</v>
      </c>
      <c r="AV110" s="36"/>
      <c r="AW110" s="36"/>
      <c r="AX110" s="36"/>
      <c r="AY110" s="26"/>
      <c r="AZ110" s="36"/>
      <c r="BB110" s="24" t="s">
        <v>759</v>
      </c>
      <c r="BC110" s="24" t="str">
        <f t="shared" si="13"/>
        <v>Obese</v>
      </c>
      <c r="BE110" s="1" t="s">
        <v>760</v>
      </c>
    </row>
    <row r="111" spans="1:57" ht="20.100000000000001" customHeight="1">
      <c r="A111" s="29" t="s">
        <v>761</v>
      </c>
      <c r="B111" s="8">
        <v>45535</v>
      </c>
      <c r="C111" s="1" t="s">
        <v>117</v>
      </c>
      <c r="D111" s="54">
        <v>31</v>
      </c>
      <c r="E111" s="54">
        <v>32</v>
      </c>
      <c r="F111" s="54">
        <v>36</v>
      </c>
      <c r="G111" s="6" t="s">
        <v>63</v>
      </c>
      <c r="H111" s="33" t="str">
        <f t="shared" si="19"/>
        <v>Yes</v>
      </c>
      <c r="I111" s="33">
        <v>78.900000000000006</v>
      </c>
      <c r="J111" s="6">
        <v>25.5</v>
      </c>
      <c r="K111" s="6">
        <v>10.5</v>
      </c>
      <c r="L111" s="6">
        <v>1733</v>
      </c>
      <c r="M111" s="6">
        <v>31</v>
      </c>
      <c r="N111" s="6">
        <v>36</v>
      </c>
      <c r="O111" s="6">
        <v>23.7</v>
      </c>
      <c r="P111" s="6">
        <v>48.3</v>
      </c>
      <c r="Q111" s="6">
        <v>17.5</v>
      </c>
      <c r="R111" s="6">
        <v>23</v>
      </c>
      <c r="S111" s="6">
        <v>15.7</v>
      </c>
      <c r="T111" s="6">
        <v>23.2</v>
      </c>
      <c r="U111" s="6">
        <v>24.4</v>
      </c>
      <c r="V111" s="6">
        <v>52</v>
      </c>
      <c r="W111" s="6">
        <v>40.5</v>
      </c>
      <c r="X111" s="6">
        <v>40.4</v>
      </c>
      <c r="Y111" s="56">
        <f t="shared" si="17"/>
        <v>40.450000000000003</v>
      </c>
      <c r="Z111" s="6">
        <v>46.2</v>
      </c>
      <c r="AA111" s="6">
        <v>47.9</v>
      </c>
      <c r="AB111" s="56">
        <f t="shared" si="15"/>
        <v>47.05</v>
      </c>
      <c r="AC111" s="6">
        <v>49.4</v>
      </c>
      <c r="AD111" s="6">
        <v>50</v>
      </c>
      <c r="AE111" s="56">
        <f t="shared" si="18"/>
        <v>49.7</v>
      </c>
      <c r="AF111" s="14" t="s">
        <v>337</v>
      </c>
      <c r="AG111" s="14" t="s">
        <v>322</v>
      </c>
      <c r="AH111" s="14" t="s">
        <v>338</v>
      </c>
      <c r="AI111" s="14" t="s">
        <v>325</v>
      </c>
      <c r="AJ111" s="14" t="s">
        <v>203</v>
      </c>
      <c r="AK111" s="14" t="s">
        <v>340</v>
      </c>
      <c r="AM111" s="11" t="s">
        <v>337</v>
      </c>
      <c r="AN111" s="11" t="s">
        <v>340</v>
      </c>
      <c r="AP111" s="1" t="s">
        <v>322</v>
      </c>
      <c r="AQ111" s="1" t="s">
        <v>338</v>
      </c>
      <c r="AR111" s="6">
        <v>5</v>
      </c>
      <c r="AS111" s="6" t="s">
        <v>325</v>
      </c>
      <c r="AT111" s="6" t="s">
        <v>762</v>
      </c>
      <c r="AU111" s="6">
        <v>5</v>
      </c>
      <c r="AV111" s="36"/>
      <c r="AW111" s="36"/>
      <c r="AX111" s="36"/>
      <c r="AY111" s="36"/>
      <c r="AZ111" s="36"/>
      <c r="BC111" s="24" t="str">
        <f t="shared" si="13"/>
        <v>Not Obese</v>
      </c>
      <c r="BE111" s="1" t="s">
        <v>763</v>
      </c>
    </row>
    <row r="112" spans="1:57" ht="39.950000000000003" customHeight="1">
      <c r="A112" s="29" t="s">
        <v>764</v>
      </c>
      <c r="B112" s="8">
        <v>45535</v>
      </c>
      <c r="C112" s="1" t="s">
        <v>84</v>
      </c>
      <c r="D112" s="54">
        <v>32</v>
      </c>
      <c r="E112" s="54">
        <v>36</v>
      </c>
      <c r="F112" s="54">
        <v>33</v>
      </c>
      <c r="G112" s="6" t="s">
        <v>85</v>
      </c>
      <c r="H112" s="33" t="str">
        <f t="shared" si="19"/>
        <v>Yes</v>
      </c>
      <c r="I112" s="33">
        <v>68.8</v>
      </c>
      <c r="J112" s="6">
        <v>36.4</v>
      </c>
      <c r="K112" s="6">
        <v>7.5</v>
      </c>
      <c r="L112" s="6">
        <v>1377</v>
      </c>
      <c r="M112" s="6">
        <v>23.3</v>
      </c>
      <c r="N112" s="6">
        <v>22.7</v>
      </c>
      <c r="O112" s="6">
        <v>17</v>
      </c>
      <c r="P112" s="6">
        <v>36.6</v>
      </c>
      <c r="Q112" s="6">
        <v>30.8</v>
      </c>
      <c r="R112" s="6">
        <v>48.3</v>
      </c>
      <c r="S112" s="6">
        <v>27.5</v>
      </c>
      <c r="T112" s="6">
        <v>42</v>
      </c>
      <c r="U112" s="6">
        <v>25.3</v>
      </c>
      <c r="V112" s="6">
        <v>62</v>
      </c>
      <c r="W112" s="6">
        <v>41.5</v>
      </c>
      <c r="X112" s="6">
        <v>43.6</v>
      </c>
      <c r="Y112" s="56">
        <f t="shared" si="17"/>
        <v>42.55</v>
      </c>
      <c r="Z112" s="6">
        <v>46.2</v>
      </c>
      <c r="AA112" s="6">
        <v>46.1</v>
      </c>
      <c r="AB112" s="56">
        <f t="shared" si="15"/>
        <v>46.150000000000006</v>
      </c>
      <c r="AC112" s="6">
        <v>44</v>
      </c>
      <c r="AD112" s="6">
        <v>45.5</v>
      </c>
      <c r="AE112" s="56">
        <f t="shared" si="18"/>
        <v>44.75</v>
      </c>
      <c r="AF112" s="14" t="s">
        <v>321</v>
      </c>
      <c r="AG112" s="14" t="s">
        <v>308</v>
      </c>
      <c r="AH112" s="14" t="s">
        <v>322</v>
      </c>
      <c r="AI112" s="14" t="s">
        <v>323</v>
      </c>
      <c r="AJ112" s="14" t="s">
        <v>325</v>
      </c>
      <c r="AK112" s="14" t="s">
        <v>568</v>
      </c>
      <c r="AL112" s="1" t="s">
        <v>765</v>
      </c>
      <c r="AM112" s="11" t="s">
        <v>321</v>
      </c>
      <c r="AN112" s="11" t="s">
        <v>568</v>
      </c>
      <c r="AP112" s="1" t="s">
        <v>308</v>
      </c>
      <c r="AQ112" s="1" t="s">
        <v>322</v>
      </c>
      <c r="AR112" s="6">
        <v>5</v>
      </c>
      <c r="AS112" s="6" t="s">
        <v>323</v>
      </c>
      <c r="AT112" s="6" t="s">
        <v>325</v>
      </c>
      <c r="AU112" s="6">
        <v>5</v>
      </c>
      <c r="AV112" s="36"/>
      <c r="AW112" s="36"/>
      <c r="AX112" s="36"/>
      <c r="AY112" s="36"/>
      <c r="AZ112" s="36"/>
      <c r="BB112" s="52" t="s">
        <v>766</v>
      </c>
      <c r="BC112" s="24" t="str">
        <f t="shared" si="13"/>
        <v>Obese</v>
      </c>
      <c r="BE112" s="1" t="s">
        <v>767</v>
      </c>
    </row>
    <row r="113" spans="1:63" ht="20.100000000000001" customHeight="1">
      <c r="A113" s="29" t="s">
        <v>768</v>
      </c>
      <c r="B113" s="8">
        <v>45536</v>
      </c>
      <c r="C113" s="1" t="s">
        <v>117</v>
      </c>
      <c r="D113" s="6">
        <v>24</v>
      </c>
      <c r="G113" s="6" t="s">
        <v>63</v>
      </c>
      <c r="H113" s="33" t="str">
        <f t="shared" si="19"/>
        <v>Yes</v>
      </c>
      <c r="I113" s="33">
        <v>69.900000000000006</v>
      </c>
      <c r="J113" s="6">
        <v>26</v>
      </c>
      <c r="K113" s="6">
        <v>11.5</v>
      </c>
      <c r="L113" s="6">
        <v>1577</v>
      </c>
      <c r="M113" s="6">
        <v>29.5</v>
      </c>
      <c r="N113" s="6">
        <v>35.799999999999997</v>
      </c>
      <c r="O113" s="6">
        <v>22.5</v>
      </c>
      <c r="P113" s="6">
        <v>46.9</v>
      </c>
      <c r="Q113" s="6">
        <v>17.899999999999999</v>
      </c>
      <c r="R113" s="6">
        <v>23.7</v>
      </c>
      <c r="S113" s="6">
        <v>16.100000000000001</v>
      </c>
      <c r="T113" s="6">
        <v>23.9</v>
      </c>
      <c r="U113" s="6">
        <v>24.8</v>
      </c>
      <c r="V113" s="6">
        <v>52</v>
      </c>
      <c r="W113" s="6">
        <v>37.5</v>
      </c>
      <c r="X113" s="6">
        <v>37.200000000000003</v>
      </c>
      <c r="Y113" s="56">
        <f t="shared" si="17"/>
        <v>37.35</v>
      </c>
      <c r="Z113" s="6">
        <v>47.2</v>
      </c>
      <c r="AA113" s="6">
        <v>49.5</v>
      </c>
      <c r="AB113" s="56">
        <f t="shared" si="15"/>
        <v>48.35</v>
      </c>
      <c r="AC113" s="6">
        <v>44.4</v>
      </c>
      <c r="AD113" s="6">
        <v>45.3</v>
      </c>
      <c r="AE113" s="56">
        <f t="shared" si="18"/>
        <v>44.849999999999994</v>
      </c>
      <c r="AF113" s="14" t="s">
        <v>666</v>
      </c>
      <c r="AG113" s="14" t="s">
        <v>370</v>
      </c>
      <c r="AH113" s="14" t="s">
        <v>349</v>
      </c>
      <c r="AI113" s="14" t="s">
        <v>191</v>
      </c>
      <c r="AJ113" s="14" t="s">
        <v>351</v>
      </c>
      <c r="AK113" s="14" t="s">
        <v>193</v>
      </c>
      <c r="AM113" s="11" t="s">
        <v>666</v>
      </c>
      <c r="AN113" s="11" t="s">
        <v>193</v>
      </c>
      <c r="AO113" s="29" t="s">
        <v>769</v>
      </c>
      <c r="AP113" s="1" t="s">
        <v>370</v>
      </c>
      <c r="AQ113" s="1" t="s">
        <v>349</v>
      </c>
      <c r="AR113" s="6">
        <v>5</v>
      </c>
      <c r="AS113" s="6" t="s">
        <v>191</v>
      </c>
      <c r="AT113" s="6" t="s">
        <v>351</v>
      </c>
      <c r="AU113" s="6">
        <v>5</v>
      </c>
      <c r="AV113" s="36"/>
      <c r="AW113" s="36"/>
      <c r="AX113" s="36"/>
      <c r="AY113" s="36"/>
      <c r="AZ113" s="36"/>
      <c r="BC113" s="24" t="str">
        <f t="shared" si="13"/>
        <v>Not Obese</v>
      </c>
      <c r="BE113" s="1" t="s">
        <v>770</v>
      </c>
    </row>
    <row r="114" spans="1:63" ht="20.100000000000001" customHeight="1">
      <c r="A114" s="29" t="s">
        <v>771</v>
      </c>
      <c r="B114" s="8">
        <v>45536</v>
      </c>
      <c r="C114" s="1" t="s">
        <v>62</v>
      </c>
      <c r="D114" s="6">
        <v>32</v>
      </c>
      <c r="G114" s="6" t="s">
        <v>85</v>
      </c>
      <c r="H114" s="33" t="str">
        <f t="shared" si="19"/>
        <v>Yes</v>
      </c>
      <c r="I114" s="33">
        <v>53.3</v>
      </c>
      <c r="J114" s="6">
        <v>38.1</v>
      </c>
      <c r="K114" s="6">
        <v>6.5</v>
      </c>
      <c r="L114" s="6">
        <v>1131</v>
      </c>
      <c r="M114" s="6">
        <v>21.2</v>
      </c>
      <c r="N114" s="6">
        <v>23.6</v>
      </c>
      <c r="O114" s="6">
        <v>16.100000000000001</v>
      </c>
      <c r="P114" s="6">
        <v>33.299999999999997</v>
      </c>
      <c r="Q114" s="6">
        <v>30.5</v>
      </c>
      <c r="R114" s="6">
        <v>50.8</v>
      </c>
      <c r="S114" s="6">
        <v>27.9</v>
      </c>
      <c r="T114" s="6">
        <v>43.3</v>
      </c>
      <c r="U114" s="6">
        <v>23.7</v>
      </c>
      <c r="V114" s="6">
        <v>55</v>
      </c>
      <c r="W114" s="6">
        <v>39</v>
      </c>
      <c r="X114" s="6">
        <v>40</v>
      </c>
      <c r="Y114" s="56">
        <f t="shared" si="17"/>
        <v>39.5</v>
      </c>
      <c r="Z114" s="6">
        <v>44</v>
      </c>
      <c r="AA114" s="6">
        <v>44.5</v>
      </c>
      <c r="AB114" s="56">
        <f t="shared" si="15"/>
        <v>44.25</v>
      </c>
      <c r="AC114" s="6">
        <v>40.1</v>
      </c>
      <c r="AD114" s="6">
        <v>40.200000000000003</v>
      </c>
      <c r="AE114" s="56">
        <f t="shared" si="18"/>
        <v>40.150000000000006</v>
      </c>
      <c r="AF114" s="14" t="s">
        <v>772</v>
      </c>
      <c r="AG114" s="14" t="s">
        <v>160</v>
      </c>
      <c r="AH114" s="14" t="s">
        <v>161</v>
      </c>
      <c r="AI114" s="14" t="s">
        <v>162</v>
      </c>
      <c r="AJ114" s="14" t="s">
        <v>163</v>
      </c>
      <c r="AK114" s="14" t="s">
        <v>773</v>
      </c>
      <c r="AM114" s="11" t="s">
        <v>774</v>
      </c>
      <c r="AN114" s="11" t="s">
        <v>773</v>
      </c>
      <c r="AP114" s="1" t="s">
        <v>160</v>
      </c>
      <c r="AQ114" s="1" t="s">
        <v>161</v>
      </c>
      <c r="AR114" s="6">
        <v>6</v>
      </c>
      <c r="AS114" s="6" t="s">
        <v>162</v>
      </c>
      <c r="AT114" s="6" t="s">
        <v>163</v>
      </c>
      <c r="AU114" s="6">
        <v>6</v>
      </c>
      <c r="AV114" s="36"/>
      <c r="AW114" s="36"/>
      <c r="AX114" s="36"/>
      <c r="AY114" s="36"/>
      <c r="AZ114" s="36"/>
      <c r="BB114" s="24" t="s">
        <v>775</v>
      </c>
      <c r="BC114" s="24" t="str">
        <f t="shared" si="13"/>
        <v>Not Obese</v>
      </c>
      <c r="BK114" s="1" t="s">
        <v>776</v>
      </c>
    </row>
    <row r="115" spans="1:63" ht="80.099999999999994" customHeight="1">
      <c r="A115" s="29" t="s">
        <v>777</v>
      </c>
      <c r="B115" s="8">
        <v>45536</v>
      </c>
      <c r="C115" s="1" t="s">
        <v>84</v>
      </c>
      <c r="D115" s="54">
        <v>20</v>
      </c>
      <c r="E115" s="54">
        <v>22</v>
      </c>
      <c r="F115" s="137" t="s">
        <v>2416</v>
      </c>
      <c r="G115" s="6" t="s">
        <v>63</v>
      </c>
      <c r="H115" s="33" t="str">
        <f t="shared" si="19"/>
        <v>Yes</v>
      </c>
      <c r="I115" s="33">
        <v>93.9</v>
      </c>
      <c r="J115" s="6">
        <v>29.1</v>
      </c>
      <c r="K115" s="6">
        <v>21.5</v>
      </c>
      <c r="L115" s="6">
        <v>1951</v>
      </c>
      <c r="M115" s="6">
        <v>29.9</v>
      </c>
      <c r="N115" s="6">
        <v>33.799999999999997</v>
      </c>
      <c r="O115" s="6">
        <v>21.9</v>
      </c>
      <c r="P115" s="6">
        <v>47.2</v>
      </c>
      <c r="Q115" s="6">
        <v>21</v>
      </c>
      <c r="R115" s="6">
        <v>24.2</v>
      </c>
      <c r="S115" s="6">
        <v>19.600000000000001</v>
      </c>
      <c r="T115" s="6">
        <v>24.9</v>
      </c>
      <c r="U115" s="6">
        <v>31.7</v>
      </c>
      <c r="V115" s="6">
        <v>66</v>
      </c>
      <c r="W115" s="6">
        <v>41.1</v>
      </c>
      <c r="X115" s="6">
        <v>38.700000000000003</v>
      </c>
      <c r="Y115" s="56">
        <f t="shared" si="17"/>
        <v>39.900000000000006</v>
      </c>
      <c r="Z115" s="6">
        <v>50.1</v>
      </c>
      <c r="AA115" s="6">
        <v>51</v>
      </c>
      <c r="AB115" s="56">
        <f t="shared" si="15"/>
        <v>50.55</v>
      </c>
      <c r="AC115" s="6">
        <v>44.5</v>
      </c>
      <c r="AD115" s="6">
        <v>44.9</v>
      </c>
      <c r="AE115" s="56">
        <f t="shared" si="18"/>
        <v>44.7</v>
      </c>
      <c r="AF115" s="14" t="s">
        <v>707</v>
      </c>
      <c r="AG115" s="14" t="s">
        <v>708</v>
      </c>
      <c r="AH115" s="14" t="s">
        <v>778</v>
      </c>
      <c r="AI115" s="14" t="s">
        <v>779</v>
      </c>
      <c r="AJ115" s="14" t="s">
        <v>780</v>
      </c>
      <c r="AK115" s="14" t="s">
        <v>781</v>
      </c>
      <c r="AM115" s="11" t="s">
        <v>707</v>
      </c>
      <c r="AN115" s="11" t="s">
        <v>781</v>
      </c>
      <c r="AP115" s="1" t="s">
        <v>708</v>
      </c>
      <c r="AQ115" s="1" t="s">
        <v>709</v>
      </c>
      <c r="AR115" s="6">
        <v>5</v>
      </c>
      <c r="AS115" s="6" t="s">
        <v>779</v>
      </c>
      <c r="AT115" s="6" t="s">
        <v>782</v>
      </c>
      <c r="AU115" s="6">
        <v>6</v>
      </c>
      <c r="AV115" s="36"/>
      <c r="AW115" s="36"/>
      <c r="AX115" s="36"/>
      <c r="AY115" s="36"/>
      <c r="AZ115" s="36"/>
      <c r="BB115" s="52" t="s">
        <v>783</v>
      </c>
      <c r="BC115" s="24" t="str">
        <f t="shared" si="13"/>
        <v>Obese</v>
      </c>
      <c r="BK115" s="1" t="s">
        <v>784</v>
      </c>
    </row>
    <row r="116" spans="1:63" ht="39.950000000000003" customHeight="1">
      <c r="A116" s="29" t="s">
        <v>785</v>
      </c>
      <c r="B116" s="8">
        <v>45536</v>
      </c>
      <c r="C116" s="1" t="s">
        <v>75</v>
      </c>
      <c r="D116" s="6">
        <v>30</v>
      </c>
      <c r="G116" s="6" t="s">
        <v>63</v>
      </c>
      <c r="H116" s="33" t="str">
        <f t="shared" si="19"/>
        <v>Yes</v>
      </c>
      <c r="I116" s="33">
        <v>81.5</v>
      </c>
      <c r="J116" s="6">
        <v>26.3</v>
      </c>
      <c r="K116" s="6">
        <v>10.5</v>
      </c>
      <c r="L116" s="6">
        <v>1774</v>
      </c>
      <c r="M116" s="6">
        <v>31.3</v>
      </c>
      <c r="N116" s="6">
        <v>36</v>
      </c>
      <c r="O116" s="6">
        <v>23.7</v>
      </c>
      <c r="P116" s="6">
        <v>48.6</v>
      </c>
      <c r="Q116" s="6">
        <v>18.2</v>
      </c>
      <c r="R116" s="6">
        <v>25</v>
      </c>
      <c r="S116" s="6">
        <v>16.399999999999999</v>
      </c>
      <c r="T116" s="6">
        <v>25.1</v>
      </c>
      <c r="U116" s="6">
        <v>25.2</v>
      </c>
      <c r="V116" s="6">
        <v>48</v>
      </c>
      <c r="W116" s="6">
        <v>38.799999999999997</v>
      </c>
      <c r="X116" s="6">
        <v>40.700000000000003</v>
      </c>
      <c r="Y116" s="56">
        <f t="shared" si="17"/>
        <v>39.75</v>
      </c>
      <c r="Z116" s="6">
        <v>52.1</v>
      </c>
      <c r="AA116" s="6">
        <v>51</v>
      </c>
      <c r="AB116" s="56">
        <f t="shared" si="15"/>
        <v>51.55</v>
      </c>
      <c r="AC116" s="6">
        <v>50.5</v>
      </c>
      <c r="AD116" s="6">
        <v>50.5</v>
      </c>
      <c r="AE116" s="56">
        <f t="shared" si="18"/>
        <v>50.5</v>
      </c>
      <c r="AF116" s="14" t="s">
        <v>337</v>
      </c>
      <c r="AG116" s="14" t="s">
        <v>359</v>
      </c>
      <c r="AH116" s="14" t="s">
        <v>93</v>
      </c>
      <c r="AI116" s="14" t="s">
        <v>284</v>
      </c>
      <c r="AJ116" s="14" t="s">
        <v>786</v>
      </c>
      <c r="AK116" s="14" t="s">
        <v>787</v>
      </c>
      <c r="AM116" s="11" t="s">
        <v>337</v>
      </c>
      <c r="AN116" s="11" t="s">
        <v>787</v>
      </c>
      <c r="AP116" s="1" t="s">
        <v>322</v>
      </c>
      <c r="AQ116" s="1" t="s">
        <v>93</v>
      </c>
      <c r="AR116" s="6">
        <v>7</v>
      </c>
      <c r="AS116" s="6" t="s">
        <v>284</v>
      </c>
      <c r="AT116" s="6" t="s">
        <v>786</v>
      </c>
      <c r="AU116" s="6">
        <v>5</v>
      </c>
      <c r="AV116" s="36"/>
      <c r="AW116" s="36"/>
      <c r="AX116" s="36"/>
      <c r="AY116" s="36"/>
      <c r="AZ116" s="36"/>
      <c r="BB116" s="24" t="s">
        <v>788</v>
      </c>
      <c r="BC116" s="24" t="str">
        <f t="shared" si="13"/>
        <v>Obese</v>
      </c>
      <c r="BD116" s="46"/>
      <c r="BE116" s="62" t="s">
        <v>789</v>
      </c>
      <c r="BK116" s="1" t="s">
        <v>790</v>
      </c>
    </row>
    <row r="117" spans="1:63" ht="60" customHeight="1">
      <c r="A117" s="29" t="s">
        <v>791</v>
      </c>
      <c r="B117" s="8">
        <v>45538</v>
      </c>
      <c r="C117" s="1" t="s">
        <v>117</v>
      </c>
      <c r="D117" s="6">
        <v>31</v>
      </c>
      <c r="G117" s="6" t="s">
        <v>63</v>
      </c>
      <c r="H117" s="33" t="str">
        <f t="shared" si="19"/>
        <v>No</v>
      </c>
      <c r="I117" s="33">
        <v>61.1</v>
      </c>
      <c r="J117" s="6">
        <v>19.8</v>
      </c>
      <c r="K117" s="6">
        <v>6.5</v>
      </c>
      <c r="L117" s="6">
        <v>1464</v>
      </c>
      <c r="M117" s="6">
        <v>31.8</v>
      </c>
      <c r="N117" s="6">
        <v>37.9</v>
      </c>
      <c r="O117" s="6">
        <v>26</v>
      </c>
      <c r="P117" s="6">
        <v>49.1</v>
      </c>
      <c r="Q117" s="6">
        <v>13.5</v>
      </c>
      <c r="R117" s="6">
        <v>18.2</v>
      </c>
      <c r="S117" s="6">
        <v>11.8</v>
      </c>
      <c r="T117" s="6">
        <v>17.899999999999999</v>
      </c>
      <c r="U117" s="6">
        <v>21.4</v>
      </c>
      <c r="V117" s="6">
        <v>42</v>
      </c>
      <c r="W117" s="6">
        <v>38.9</v>
      </c>
      <c r="X117" s="6">
        <v>38.799999999999997</v>
      </c>
      <c r="Y117" s="56">
        <f t="shared" si="17"/>
        <v>38.849999999999994</v>
      </c>
      <c r="Z117" s="6">
        <v>45.2</v>
      </c>
      <c r="AA117" s="6">
        <v>45.4</v>
      </c>
      <c r="AB117" s="56">
        <f t="shared" si="15"/>
        <v>45.3</v>
      </c>
      <c r="AC117" s="6">
        <v>46.9</v>
      </c>
      <c r="AD117" s="6">
        <v>47.5</v>
      </c>
      <c r="AE117" s="56">
        <f t="shared" si="18"/>
        <v>47.2</v>
      </c>
      <c r="AF117" s="14" t="s">
        <v>703</v>
      </c>
      <c r="AG117" s="14" t="s">
        <v>454</v>
      </c>
      <c r="AH117" s="14" t="s">
        <v>222</v>
      </c>
      <c r="AI117" s="14" t="s">
        <v>215</v>
      </c>
      <c r="AJ117" s="14" t="s">
        <v>365</v>
      </c>
      <c r="AL117" s="20" t="s">
        <v>792</v>
      </c>
      <c r="AM117" s="11" t="s">
        <v>703</v>
      </c>
      <c r="AP117" s="1" t="s">
        <v>454</v>
      </c>
      <c r="AQ117" s="1" t="s">
        <v>222</v>
      </c>
      <c r="AR117" s="6">
        <v>5</v>
      </c>
      <c r="AS117" s="6" t="s">
        <v>364</v>
      </c>
      <c r="AT117" s="6" t="s">
        <v>365</v>
      </c>
      <c r="AU117" s="6">
        <v>5</v>
      </c>
      <c r="AV117" s="36"/>
      <c r="AW117" s="36"/>
      <c r="AX117" s="36"/>
      <c r="AY117" s="36"/>
      <c r="AZ117" s="36"/>
      <c r="BB117" s="24" t="s">
        <v>793</v>
      </c>
      <c r="BC117" s="24" t="str">
        <f t="shared" si="13"/>
        <v>Not Obese</v>
      </c>
      <c r="BE117" s="1" t="s">
        <v>794</v>
      </c>
    </row>
    <row r="118" spans="1:63" ht="80.099999999999994" customHeight="1">
      <c r="A118" s="29" t="s">
        <v>795</v>
      </c>
      <c r="B118" s="8">
        <v>45538</v>
      </c>
      <c r="C118" s="1" t="s">
        <v>62</v>
      </c>
      <c r="D118" s="6">
        <v>29</v>
      </c>
      <c r="G118" s="6" t="s">
        <v>85</v>
      </c>
      <c r="H118" s="33" t="str">
        <f t="shared" si="19"/>
        <v>Yes</v>
      </c>
      <c r="I118" s="33">
        <v>63.2</v>
      </c>
      <c r="J118" s="6">
        <v>39</v>
      </c>
      <c r="K118" s="6">
        <v>7.5</v>
      </c>
      <c r="L118" s="6">
        <v>1278</v>
      </c>
      <c r="M118" s="6">
        <v>21.8</v>
      </c>
      <c r="N118" s="6">
        <v>22.1</v>
      </c>
      <c r="O118" s="6">
        <v>16.2</v>
      </c>
      <c r="P118" s="6">
        <v>34</v>
      </c>
      <c r="Q118" s="6">
        <v>31.7</v>
      </c>
      <c r="R118" s="6">
        <v>52.4</v>
      </c>
      <c r="S118" s="6">
        <v>29</v>
      </c>
      <c r="T118" s="6">
        <v>45.5</v>
      </c>
      <c r="U118" s="6">
        <v>24.7</v>
      </c>
      <c r="V118" s="6">
        <v>60</v>
      </c>
      <c r="W118" s="6">
        <v>45.1</v>
      </c>
      <c r="X118" s="6">
        <v>42.9</v>
      </c>
      <c r="Y118" s="56">
        <f t="shared" si="17"/>
        <v>44</v>
      </c>
      <c r="Z118" s="6">
        <v>46.7</v>
      </c>
      <c r="AA118" s="6">
        <v>46.2</v>
      </c>
      <c r="AB118" s="56">
        <f t="shared" si="15"/>
        <v>46.45</v>
      </c>
      <c r="AC118" s="6">
        <v>42.8</v>
      </c>
      <c r="AD118" s="6">
        <v>42.3</v>
      </c>
      <c r="AE118" s="56">
        <f t="shared" si="18"/>
        <v>42.55</v>
      </c>
      <c r="AF118" s="14" t="s">
        <v>321</v>
      </c>
      <c r="AG118" s="14" t="s">
        <v>308</v>
      </c>
      <c r="AH118" s="14" t="s">
        <v>322</v>
      </c>
      <c r="AI118" s="14" t="s">
        <v>323</v>
      </c>
      <c r="AJ118" s="14" t="s">
        <v>324</v>
      </c>
      <c r="AK118" s="14" t="s">
        <v>568</v>
      </c>
      <c r="AM118" s="11" t="s">
        <v>321</v>
      </c>
      <c r="AN118" s="11" t="s">
        <v>568</v>
      </c>
      <c r="AP118" s="1" t="s">
        <v>308</v>
      </c>
      <c r="AQ118" s="1" t="s">
        <v>322</v>
      </c>
      <c r="AR118" s="6">
        <v>5</v>
      </c>
      <c r="AS118" s="6" t="s">
        <v>323</v>
      </c>
      <c r="AT118" s="6" t="s">
        <v>325</v>
      </c>
      <c r="AU118" s="6">
        <v>5</v>
      </c>
      <c r="AV118" s="36"/>
      <c r="AW118" s="36"/>
      <c r="AX118" s="36"/>
      <c r="AY118" s="36"/>
      <c r="AZ118" s="36"/>
      <c r="BB118" s="24" t="s">
        <v>796</v>
      </c>
      <c r="BC118" s="24" t="str">
        <f t="shared" si="13"/>
        <v>Not Obese</v>
      </c>
      <c r="BD118" s="1" t="s">
        <v>688</v>
      </c>
      <c r="BE118" s="1" t="s">
        <v>797</v>
      </c>
    </row>
    <row r="119" spans="1:63" ht="60" customHeight="1">
      <c r="A119" s="29" t="s">
        <v>798</v>
      </c>
      <c r="B119" s="8">
        <v>45538</v>
      </c>
      <c r="C119" s="1" t="s">
        <v>84</v>
      </c>
      <c r="D119" s="137">
        <v>20</v>
      </c>
      <c r="E119" s="137">
        <v>30</v>
      </c>
      <c r="F119" s="137">
        <v>20</v>
      </c>
      <c r="G119" s="149" t="s">
        <v>63</v>
      </c>
      <c r="H119" s="33" t="str">
        <f t="shared" si="19"/>
        <v>No</v>
      </c>
      <c r="I119" s="33">
        <v>64.400000000000006</v>
      </c>
      <c r="J119" s="6">
        <v>22</v>
      </c>
      <c r="K119" s="6">
        <v>8</v>
      </c>
      <c r="L119" s="6">
        <v>1511</v>
      </c>
      <c r="M119" s="6">
        <v>31.5</v>
      </c>
      <c r="N119" s="6">
        <v>37.6</v>
      </c>
      <c r="O119" s="6">
        <v>25.1</v>
      </c>
      <c r="P119" s="6">
        <v>48.8</v>
      </c>
      <c r="Q119" s="6">
        <v>15.1</v>
      </c>
      <c r="R119" s="6">
        <v>20.7</v>
      </c>
      <c r="S119" s="6">
        <v>13.4</v>
      </c>
      <c r="T119" s="6">
        <v>20.5</v>
      </c>
      <c r="U119" s="6">
        <v>22.8</v>
      </c>
      <c r="V119" s="6">
        <v>42</v>
      </c>
      <c r="W119" s="6">
        <v>38.6</v>
      </c>
      <c r="X119" s="6">
        <v>38.700000000000003</v>
      </c>
      <c r="Y119" s="56">
        <f t="shared" si="17"/>
        <v>38.650000000000006</v>
      </c>
      <c r="Z119" s="6">
        <v>44.6</v>
      </c>
      <c r="AA119" s="6">
        <v>43.7</v>
      </c>
      <c r="AB119" s="56">
        <f t="shared" si="15"/>
        <v>44.150000000000006</v>
      </c>
      <c r="AC119" s="6">
        <v>46.4</v>
      </c>
      <c r="AD119" s="6">
        <v>45.5</v>
      </c>
      <c r="AE119" s="56">
        <f t="shared" si="18"/>
        <v>45.95</v>
      </c>
      <c r="AF119" s="14" t="s">
        <v>321</v>
      </c>
      <c r="AG119" s="14" t="s">
        <v>130</v>
      </c>
      <c r="AH119" s="14" t="s">
        <v>343</v>
      </c>
      <c r="AI119" s="14" t="s">
        <v>311</v>
      </c>
      <c r="AJ119" s="14" t="s">
        <v>284</v>
      </c>
      <c r="AK119" s="14" t="s">
        <v>463</v>
      </c>
      <c r="AM119" s="11" t="s">
        <v>567</v>
      </c>
      <c r="AN119" s="11" t="s">
        <v>463</v>
      </c>
      <c r="AP119" s="1" t="s">
        <v>130</v>
      </c>
      <c r="AQ119" s="1" t="s">
        <v>343</v>
      </c>
      <c r="AR119" s="6">
        <v>5</v>
      </c>
      <c r="AS119" s="6" t="s">
        <v>311</v>
      </c>
      <c r="AT119" s="6" t="s">
        <v>324</v>
      </c>
      <c r="AU119" s="6">
        <v>5</v>
      </c>
      <c r="AV119" s="36"/>
      <c r="AW119" s="36"/>
      <c r="AX119" s="36"/>
      <c r="AY119" s="36"/>
      <c r="AZ119" s="36"/>
      <c r="BB119" s="24" t="s">
        <v>799</v>
      </c>
      <c r="BC119" s="24" t="str">
        <f t="shared" si="13"/>
        <v>Not Obese</v>
      </c>
      <c r="BD119" s="1" t="s">
        <v>688</v>
      </c>
      <c r="BE119" s="1" t="s">
        <v>800</v>
      </c>
    </row>
    <row r="120" spans="1:63" ht="60" customHeight="1">
      <c r="A120" s="29" t="s">
        <v>801</v>
      </c>
      <c r="B120" s="8">
        <v>45542</v>
      </c>
      <c r="C120" s="1" t="s">
        <v>84</v>
      </c>
      <c r="D120" s="137">
        <v>25</v>
      </c>
      <c r="E120" s="150" t="s">
        <v>2417</v>
      </c>
      <c r="F120" s="150"/>
      <c r="G120" s="6" t="s">
        <v>63</v>
      </c>
      <c r="H120" s="33" t="str">
        <f t="shared" si="19"/>
        <v>No</v>
      </c>
      <c r="I120" s="33">
        <v>59.2</v>
      </c>
      <c r="J120" s="6">
        <v>16.399999999999999</v>
      </c>
      <c r="K120" s="6">
        <v>3</v>
      </c>
      <c r="L120" s="6">
        <v>1452</v>
      </c>
      <c r="M120" s="6">
        <v>34</v>
      </c>
      <c r="N120" s="6">
        <v>39.6</v>
      </c>
      <c r="O120" s="6">
        <v>28.6</v>
      </c>
      <c r="P120" s="6">
        <v>51.2</v>
      </c>
      <c r="Q120" s="6">
        <v>11</v>
      </c>
      <c r="R120" s="6">
        <v>15.6</v>
      </c>
      <c r="S120" s="6">
        <v>9.3000000000000007</v>
      </c>
      <c r="T120" s="6">
        <v>14.9</v>
      </c>
      <c r="U120" s="6">
        <v>18.899999999999999</v>
      </c>
      <c r="V120" s="6">
        <v>32</v>
      </c>
      <c r="W120" s="6">
        <v>33.299999999999997</v>
      </c>
      <c r="X120" s="6">
        <v>39.6</v>
      </c>
      <c r="Y120" s="56">
        <f t="shared" si="17"/>
        <v>36.450000000000003</v>
      </c>
      <c r="Z120" s="6">
        <v>44.5</v>
      </c>
      <c r="AA120" s="6">
        <v>42.6</v>
      </c>
      <c r="AB120" s="56">
        <f t="shared" si="15"/>
        <v>43.55</v>
      </c>
      <c r="AC120" s="6">
        <v>51</v>
      </c>
      <c r="AD120" s="6">
        <v>47</v>
      </c>
      <c r="AE120" s="56">
        <f t="shared" si="18"/>
        <v>49</v>
      </c>
      <c r="AF120" s="14" t="s">
        <v>321</v>
      </c>
      <c r="AG120" s="14" t="s">
        <v>130</v>
      </c>
      <c r="AH120" s="14" t="s">
        <v>343</v>
      </c>
      <c r="AI120" s="14" t="s">
        <v>311</v>
      </c>
      <c r="AJ120" s="14" t="s">
        <v>324</v>
      </c>
      <c r="AK120" s="14" t="s">
        <v>568</v>
      </c>
      <c r="AL120" s="1" t="s">
        <v>802</v>
      </c>
      <c r="AM120" s="11" t="s">
        <v>321</v>
      </c>
      <c r="AN120" s="11" t="s">
        <v>568</v>
      </c>
      <c r="AP120" s="1" t="s">
        <v>130</v>
      </c>
      <c r="AQ120" s="1" t="s">
        <v>343</v>
      </c>
      <c r="AR120" s="6">
        <v>5</v>
      </c>
      <c r="AS120" s="6" t="s">
        <v>311</v>
      </c>
      <c r="AT120" s="6" t="s">
        <v>324</v>
      </c>
      <c r="AU120" s="6">
        <v>5</v>
      </c>
      <c r="AV120" s="36"/>
      <c r="AW120" s="36"/>
      <c r="AX120" s="36"/>
      <c r="AY120" s="36"/>
      <c r="AZ120" s="36"/>
      <c r="BB120" s="24" t="s">
        <v>803</v>
      </c>
      <c r="BC120" s="24" t="str">
        <f t="shared" si="13"/>
        <v>Not Obese</v>
      </c>
      <c r="BE120" s="1" t="s">
        <v>804</v>
      </c>
    </row>
    <row r="121" spans="1:63" ht="80.099999999999994" customHeight="1">
      <c r="A121" s="29" t="s">
        <v>805</v>
      </c>
      <c r="B121" s="8">
        <v>45542</v>
      </c>
      <c r="C121" s="1" t="s">
        <v>62</v>
      </c>
      <c r="D121" s="6">
        <v>20</v>
      </c>
      <c r="G121" s="6" t="s">
        <v>85</v>
      </c>
      <c r="H121" s="33" t="str">
        <f t="shared" si="19"/>
        <v>No</v>
      </c>
      <c r="I121" s="33">
        <v>52</v>
      </c>
      <c r="J121" s="6">
        <v>31.6</v>
      </c>
      <c r="K121" s="6">
        <v>4.5</v>
      </c>
      <c r="L121" s="6">
        <v>1137</v>
      </c>
      <c r="M121" s="6">
        <v>23.9</v>
      </c>
      <c r="N121" s="6">
        <v>27</v>
      </c>
      <c r="O121" s="6">
        <v>18.100000000000001</v>
      </c>
      <c r="P121" s="6">
        <v>36.299999999999997</v>
      </c>
      <c r="Q121" s="6">
        <v>25.4</v>
      </c>
      <c r="R121" s="6">
        <v>41.3</v>
      </c>
      <c r="S121" s="6">
        <v>22.3</v>
      </c>
      <c r="T121" s="6">
        <v>33.1</v>
      </c>
      <c r="U121" s="6">
        <v>21.1</v>
      </c>
      <c r="V121" s="6">
        <v>61</v>
      </c>
      <c r="W121" s="6">
        <v>38.5</v>
      </c>
      <c r="X121" s="6">
        <v>38.5</v>
      </c>
      <c r="Y121" s="56">
        <f t="shared" si="17"/>
        <v>38.5</v>
      </c>
      <c r="Z121" s="6">
        <v>45.5</v>
      </c>
      <c r="AA121" s="6">
        <v>45.4</v>
      </c>
      <c r="AB121" s="56">
        <f t="shared" si="15"/>
        <v>45.45</v>
      </c>
      <c r="AC121" s="6">
        <v>42.8</v>
      </c>
      <c r="AD121" s="6">
        <v>42.5</v>
      </c>
      <c r="AE121" s="56">
        <f t="shared" si="18"/>
        <v>42.65</v>
      </c>
      <c r="AF121" s="14" t="s">
        <v>806</v>
      </c>
      <c r="AG121" s="14" t="s">
        <v>380</v>
      </c>
      <c r="AH121" s="14" t="s">
        <v>189</v>
      </c>
      <c r="AI121" s="14" t="s">
        <v>641</v>
      </c>
      <c r="AJ121" s="14" t="s">
        <v>198</v>
      </c>
      <c r="AK121" s="14" t="s">
        <v>807</v>
      </c>
      <c r="AL121" s="1" t="s">
        <v>808</v>
      </c>
      <c r="AM121" s="11" t="s">
        <v>806</v>
      </c>
      <c r="AN121" s="11" t="s">
        <v>807</v>
      </c>
      <c r="AP121" s="1" t="s">
        <v>380</v>
      </c>
      <c r="AQ121" s="1" t="s">
        <v>189</v>
      </c>
      <c r="AR121" s="6">
        <v>5</v>
      </c>
      <c r="AS121" s="6" t="s">
        <v>641</v>
      </c>
      <c r="AT121" s="6" t="s">
        <v>198</v>
      </c>
      <c r="AU121" s="6">
        <v>5</v>
      </c>
      <c r="AV121" s="36"/>
      <c r="AW121" s="36"/>
      <c r="AX121" s="36"/>
      <c r="AY121" s="36"/>
      <c r="AZ121" s="36"/>
      <c r="BB121" s="24" t="s">
        <v>809</v>
      </c>
      <c r="BC121" s="24" t="str">
        <f t="shared" si="13"/>
        <v>Not Obese</v>
      </c>
      <c r="BE121" s="1" t="s">
        <v>810</v>
      </c>
    </row>
    <row r="122" spans="1:63" ht="41.25" customHeight="1">
      <c r="A122" s="29" t="s">
        <v>811</v>
      </c>
      <c r="B122" s="8">
        <v>45542</v>
      </c>
      <c r="C122" s="1" t="s">
        <v>117</v>
      </c>
      <c r="D122" s="54">
        <v>32</v>
      </c>
      <c r="E122" s="54">
        <v>35</v>
      </c>
      <c r="F122" s="54">
        <v>33</v>
      </c>
      <c r="G122" s="6" t="s">
        <v>85</v>
      </c>
      <c r="H122" s="33" t="str">
        <f t="shared" si="19"/>
        <v>Yes</v>
      </c>
      <c r="I122" s="33">
        <v>74.599999999999994</v>
      </c>
      <c r="J122" s="6">
        <v>37</v>
      </c>
      <c r="K122" s="6">
        <v>12</v>
      </c>
      <c r="L122" s="6">
        <v>1463</v>
      </c>
      <c r="M122" s="6">
        <v>23.6</v>
      </c>
      <c r="N122" s="6">
        <v>21.7</v>
      </c>
      <c r="O122" s="6">
        <v>16.600000000000001</v>
      </c>
      <c r="P122" s="6">
        <v>37.4</v>
      </c>
      <c r="Q122" s="6">
        <v>34.200000000000003</v>
      </c>
      <c r="R122" s="6">
        <v>48.4</v>
      </c>
      <c r="S122" s="6">
        <v>30</v>
      </c>
      <c r="T122" s="6">
        <v>44.2</v>
      </c>
      <c r="U122" s="6">
        <v>29.5</v>
      </c>
      <c r="V122" s="6">
        <v>64</v>
      </c>
      <c r="W122" s="6">
        <v>41.7</v>
      </c>
      <c r="X122" s="6">
        <v>40.9</v>
      </c>
      <c r="Y122" s="56">
        <f t="shared" si="17"/>
        <v>41.3</v>
      </c>
      <c r="Z122" s="6">
        <v>47.6</v>
      </c>
      <c r="AA122" s="6">
        <v>47.2</v>
      </c>
      <c r="AB122" s="56">
        <f t="shared" si="15"/>
        <v>47.400000000000006</v>
      </c>
      <c r="AC122" s="6">
        <v>41.9</v>
      </c>
      <c r="AD122" s="6">
        <v>42.1</v>
      </c>
      <c r="AE122" s="56">
        <f t="shared" si="18"/>
        <v>42</v>
      </c>
      <c r="AF122" s="14" t="s">
        <v>812</v>
      </c>
      <c r="AG122" s="14" t="s">
        <v>258</v>
      </c>
      <c r="AH122" s="14" t="s">
        <v>88</v>
      </c>
      <c r="AI122" s="14" t="s">
        <v>89</v>
      </c>
      <c r="AJ122" s="14" t="s">
        <v>67</v>
      </c>
      <c r="AK122" s="14" t="s">
        <v>90</v>
      </c>
      <c r="AL122" s="20" t="s">
        <v>813</v>
      </c>
      <c r="AM122" s="11" t="s">
        <v>812</v>
      </c>
      <c r="AN122" s="11" t="s">
        <v>90</v>
      </c>
      <c r="AP122" s="1" t="s">
        <v>258</v>
      </c>
      <c r="AQ122" s="1" t="s">
        <v>88</v>
      </c>
      <c r="AR122" s="6">
        <v>5</v>
      </c>
      <c r="AS122" s="6" t="s">
        <v>89</v>
      </c>
      <c r="AT122" s="6" t="s">
        <v>95</v>
      </c>
      <c r="AU122" s="6">
        <v>5</v>
      </c>
      <c r="AV122" s="36"/>
      <c r="AW122" s="36"/>
      <c r="AX122" s="36"/>
      <c r="AY122" s="36"/>
      <c r="AZ122" s="36"/>
      <c r="BB122" s="52" t="s">
        <v>814</v>
      </c>
      <c r="BC122" s="24" t="str">
        <f t="shared" si="13"/>
        <v>Obese</v>
      </c>
      <c r="BE122" s="1" t="s">
        <v>815</v>
      </c>
    </row>
    <row r="123" spans="1:63" ht="20.100000000000001" customHeight="1">
      <c r="A123" s="29" t="s">
        <v>816</v>
      </c>
      <c r="B123" s="8">
        <v>45544</v>
      </c>
      <c r="C123" s="1" t="s">
        <v>117</v>
      </c>
      <c r="D123" s="6">
        <v>17</v>
      </c>
      <c r="G123" s="6" t="s">
        <v>85</v>
      </c>
      <c r="H123" s="33" t="str">
        <f t="shared" si="19"/>
        <v>Yes</v>
      </c>
      <c r="I123" s="33">
        <v>64.599999999999994</v>
      </c>
      <c r="J123" s="6">
        <v>37</v>
      </c>
      <c r="K123" s="6">
        <v>8.5</v>
      </c>
      <c r="L123" s="6">
        <v>1308</v>
      </c>
      <c r="M123" s="6">
        <v>22.6</v>
      </c>
      <c r="N123" s="6">
        <v>22.8</v>
      </c>
      <c r="O123" s="6">
        <v>16.3</v>
      </c>
      <c r="P123" s="6">
        <v>35.799999999999997</v>
      </c>
      <c r="Q123" s="6">
        <v>31.3</v>
      </c>
      <c r="R123" s="6">
        <v>48.3</v>
      </c>
      <c r="S123" s="6">
        <v>28</v>
      </c>
      <c r="T123" s="6">
        <v>41.5</v>
      </c>
      <c r="U123" s="6">
        <v>25.6</v>
      </c>
      <c r="V123" s="6">
        <v>67</v>
      </c>
      <c r="W123" s="6">
        <v>41.8</v>
      </c>
      <c r="X123" s="6">
        <v>42.1</v>
      </c>
      <c r="Y123" s="56">
        <f t="shared" si="17"/>
        <v>41.95</v>
      </c>
      <c r="Z123" s="6">
        <v>49</v>
      </c>
      <c r="AA123" s="6">
        <v>49.6</v>
      </c>
      <c r="AB123" s="56">
        <f t="shared" si="15"/>
        <v>49.3</v>
      </c>
      <c r="AC123" s="6">
        <v>45.2</v>
      </c>
      <c r="AD123" s="6">
        <v>43.1</v>
      </c>
      <c r="AE123" s="56">
        <f t="shared" si="18"/>
        <v>44.150000000000006</v>
      </c>
      <c r="AF123" s="14" t="s">
        <v>321</v>
      </c>
      <c r="AG123" s="14" t="s">
        <v>308</v>
      </c>
      <c r="AH123" s="14" t="s">
        <v>322</v>
      </c>
      <c r="AI123" s="14" t="s">
        <v>323</v>
      </c>
      <c r="AJ123" s="14" t="s">
        <v>325</v>
      </c>
      <c r="AK123" s="14" t="s">
        <v>568</v>
      </c>
      <c r="AM123" s="11" t="s">
        <v>321</v>
      </c>
      <c r="AN123" s="11" t="s">
        <v>463</v>
      </c>
      <c r="AP123" s="1" t="s">
        <v>308</v>
      </c>
      <c r="AQ123" s="1" t="s">
        <v>322</v>
      </c>
      <c r="AR123" s="6">
        <v>5</v>
      </c>
      <c r="AS123" s="6" t="s">
        <v>323</v>
      </c>
      <c r="AT123" s="6" t="s">
        <v>325</v>
      </c>
      <c r="AU123" s="6">
        <v>5</v>
      </c>
      <c r="AV123" s="36"/>
      <c r="AW123" s="36"/>
      <c r="AX123" s="36"/>
      <c r="AY123" s="36"/>
      <c r="AZ123" s="36"/>
      <c r="BC123" s="24" t="str">
        <f t="shared" si="13"/>
        <v>Obese</v>
      </c>
      <c r="BE123" s="70" t="s">
        <v>817</v>
      </c>
    </row>
    <row r="124" spans="1:63" ht="20.100000000000001" customHeight="1">
      <c r="A124" s="29" t="s">
        <v>818</v>
      </c>
      <c r="B124" s="8">
        <v>45544</v>
      </c>
      <c r="C124" s="1" t="s">
        <v>62</v>
      </c>
      <c r="D124" s="54">
        <v>27</v>
      </c>
      <c r="E124" s="54">
        <v>27</v>
      </c>
      <c r="F124" s="54">
        <v>30</v>
      </c>
      <c r="G124" s="6" t="s">
        <v>63</v>
      </c>
      <c r="H124" s="33" t="str">
        <f t="shared" si="19"/>
        <v>No</v>
      </c>
      <c r="I124" s="33">
        <v>59.3</v>
      </c>
      <c r="J124" s="6">
        <v>20.399999999999999</v>
      </c>
      <c r="K124" s="6">
        <v>5</v>
      </c>
      <c r="L124" s="6">
        <v>1433</v>
      </c>
      <c r="M124" s="6">
        <v>31.7</v>
      </c>
      <c r="N124" s="6">
        <v>37.4</v>
      </c>
      <c r="O124" s="6">
        <v>25.7</v>
      </c>
      <c r="P124" s="6">
        <v>49</v>
      </c>
      <c r="Q124" s="6">
        <v>13.6</v>
      </c>
      <c r="R124" s="6">
        <v>18.399999999999999</v>
      </c>
      <c r="S124" s="6">
        <v>11.6</v>
      </c>
      <c r="T124" s="6">
        <v>18.2</v>
      </c>
      <c r="U124" s="6">
        <v>19.600000000000001</v>
      </c>
      <c r="V124" s="6">
        <v>40</v>
      </c>
      <c r="W124" s="6">
        <v>35.200000000000003</v>
      </c>
      <c r="X124" s="6">
        <v>38.4</v>
      </c>
      <c r="Y124" s="56">
        <f t="shared" si="17"/>
        <v>36.799999999999997</v>
      </c>
      <c r="Z124" s="6">
        <v>46</v>
      </c>
      <c r="AA124" s="6">
        <v>46.2</v>
      </c>
      <c r="AB124" s="56">
        <f t="shared" si="15"/>
        <v>46.1</v>
      </c>
      <c r="AC124" s="6">
        <v>47</v>
      </c>
      <c r="AD124" s="6">
        <v>47.6</v>
      </c>
      <c r="AE124" s="56">
        <f t="shared" si="18"/>
        <v>47.3</v>
      </c>
      <c r="AF124" s="14" t="s">
        <v>134</v>
      </c>
      <c r="AG124" s="14" t="s">
        <v>454</v>
      </c>
      <c r="AH124" s="14" t="s">
        <v>222</v>
      </c>
      <c r="AI124" s="14" t="s">
        <v>215</v>
      </c>
      <c r="AJ124" s="14" t="s">
        <v>223</v>
      </c>
      <c r="AK124" s="14" t="s">
        <v>224</v>
      </c>
      <c r="AM124" s="11" t="s">
        <v>134</v>
      </c>
      <c r="AN124" s="11" t="s">
        <v>224</v>
      </c>
      <c r="AP124" s="1" t="s">
        <v>454</v>
      </c>
      <c r="AQ124" s="1" t="s">
        <v>222</v>
      </c>
      <c r="AR124" s="6">
        <v>5</v>
      </c>
      <c r="AS124" s="6" t="s">
        <v>215</v>
      </c>
      <c r="AT124" s="6" t="s">
        <v>223</v>
      </c>
      <c r="AU124" s="6">
        <v>5</v>
      </c>
      <c r="AV124" s="36"/>
      <c r="AW124" s="36"/>
      <c r="AX124" s="36"/>
      <c r="AY124" s="36"/>
      <c r="AZ124" s="36"/>
      <c r="BB124" s="52" t="s">
        <v>819</v>
      </c>
      <c r="BC124" s="24" t="str">
        <f t="shared" si="13"/>
        <v>Not Obese</v>
      </c>
      <c r="BE124" s="70" t="s">
        <v>820</v>
      </c>
    </row>
    <row r="125" spans="1:63" ht="39.950000000000003" customHeight="1">
      <c r="A125" s="29" t="s">
        <v>821</v>
      </c>
      <c r="B125" s="8">
        <v>45544</v>
      </c>
      <c r="C125" s="1" t="s">
        <v>84</v>
      </c>
      <c r="D125" s="6">
        <v>32</v>
      </c>
      <c r="G125" s="6" t="s">
        <v>85</v>
      </c>
      <c r="H125" s="33" t="str">
        <f t="shared" si="19"/>
        <v>No</v>
      </c>
      <c r="I125" s="33">
        <v>49.4</v>
      </c>
      <c r="J125" s="6">
        <v>28.4</v>
      </c>
      <c r="K125" s="6">
        <v>7.5</v>
      </c>
      <c r="L125" s="6">
        <v>1230</v>
      </c>
      <c r="M125" s="6">
        <v>25.7</v>
      </c>
      <c r="N125" s="6">
        <v>34.5</v>
      </c>
      <c r="O125" s="6">
        <v>18.899999999999999</v>
      </c>
      <c r="P125" s="6">
        <v>43.3</v>
      </c>
      <c r="Q125" s="6">
        <v>18.899999999999999</v>
      </c>
      <c r="R125" s="6">
        <v>24.9</v>
      </c>
      <c r="S125" s="6">
        <v>16.5</v>
      </c>
      <c r="T125" s="6">
        <v>25.4</v>
      </c>
      <c r="U125" s="6">
        <v>21.4</v>
      </c>
      <c r="V125" s="6">
        <v>48</v>
      </c>
      <c r="W125" s="6">
        <v>35.5</v>
      </c>
      <c r="X125" s="6">
        <v>35.299999999999997</v>
      </c>
      <c r="Y125" s="56">
        <f t="shared" si="17"/>
        <v>35.4</v>
      </c>
      <c r="Z125" s="6">
        <v>43.9</v>
      </c>
      <c r="AA125" s="6">
        <v>43.8</v>
      </c>
      <c r="AB125" s="56">
        <f t="shared" si="15"/>
        <v>43.849999999999994</v>
      </c>
      <c r="AC125" s="6">
        <v>40.6</v>
      </c>
      <c r="AD125" s="6">
        <v>40.9</v>
      </c>
      <c r="AE125" s="56">
        <f t="shared" si="18"/>
        <v>40.75</v>
      </c>
      <c r="AF125" s="14" t="s">
        <v>670</v>
      </c>
      <c r="AG125" s="14" t="s">
        <v>190</v>
      </c>
      <c r="AH125" s="14" t="s">
        <v>221</v>
      </c>
      <c r="AI125" s="14" t="s">
        <v>192</v>
      </c>
      <c r="AJ125" s="14" t="s">
        <v>131</v>
      </c>
      <c r="AK125" s="14" t="s">
        <v>822</v>
      </c>
      <c r="AM125" s="1" t="s">
        <v>213</v>
      </c>
      <c r="AN125" s="11" t="s">
        <v>822</v>
      </c>
      <c r="AP125" s="1" t="s">
        <v>190</v>
      </c>
      <c r="AQ125" s="1" t="s">
        <v>221</v>
      </c>
      <c r="AR125" s="6">
        <v>5</v>
      </c>
      <c r="AS125" s="6" t="s">
        <v>192</v>
      </c>
      <c r="AT125" s="6" t="s">
        <v>131</v>
      </c>
      <c r="AU125" s="6">
        <v>5</v>
      </c>
      <c r="AV125" s="36"/>
      <c r="AW125" s="36"/>
      <c r="AX125" s="36"/>
      <c r="AY125" s="36"/>
      <c r="AZ125" s="36"/>
      <c r="BB125" s="24" t="s">
        <v>823</v>
      </c>
      <c r="BC125" s="24" t="str">
        <f t="shared" si="13"/>
        <v>Not Obese</v>
      </c>
      <c r="BE125" s="70" t="s">
        <v>824</v>
      </c>
    </row>
    <row r="126" spans="1:63" ht="20.100000000000001" customHeight="1">
      <c r="A126" s="29" t="s">
        <v>825</v>
      </c>
      <c r="B126" s="8">
        <v>45544</v>
      </c>
      <c r="C126" s="1" t="s">
        <v>75</v>
      </c>
      <c r="D126" s="6">
        <v>24</v>
      </c>
      <c r="G126" s="6" t="s">
        <v>63</v>
      </c>
      <c r="H126" s="33" t="str">
        <f t="shared" si="19"/>
        <v>Yes</v>
      </c>
      <c r="I126" s="33">
        <v>72.2</v>
      </c>
      <c r="J126" s="6">
        <v>30.2</v>
      </c>
      <c r="K126" s="6">
        <v>14</v>
      </c>
      <c r="L126" s="6">
        <v>1586</v>
      </c>
      <c r="M126" s="6">
        <v>26.9</v>
      </c>
      <c r="N126" s="6">
        <v>33.9</v>
      </c>
      <c r="O126" s="6">
        <v>19.3</v>
      </c>
      <c r="P126" s="6">
        <v>44.4</v>
      </c>
      <c r="Q126" s="6">
        <v>20.7</v>
      </c>
      <c r="R126" s="6">
        <v>26.7</v>
      </c>
      <c r="S126" s="6">
        <v>18.600000000000001</v>
      </c>
      <c r="T126" s="6">
        <v>27.3</v>
      </c>
      <c r="U126" s="6">
        <v>25.6</v>
      </c>
      <c r="V126" s="6">
        <v>64</v>
      </c>
      <c r="W126" s="6">
        <v>40.9</v>
      </c>
      <c r="X126" s="6">
        <v>40.200000000000003</v>
      </c>
      <c r="Y126" s="56">
        <f t="shared" si="17"/>
        <v>40.549999999999997</v>
      </c>
      <c r="Z126" s="6">
        <v>45.2</v>
      </c>
      <c r="AA126" s="6">
        <v>44.8</v>
      </c>
      <c r="AB126" s="56">
        <f t="shared" si="15"/>
        <v>45</v>
      </c>
      <c r="AC126" s="6">
        <v>46.2</v>
      </c>
      <c r="AD126" s="6">
        <v>45.9</v>
      </c>
      <c r="AE126" s="56">
        <f t="shared" si="18"/>
        <v>46.05</v>
      </c>
      <c r="AF126" s="14" t="s">
        <v>826</v>
      </c>
      <c r="AG126" s="14" t="s">
        <v>98</v>
      </c>
      <c r="AH126" s="14" t="s">
        <v>160</v>
      </c>
      <c r="AI126" s="14" t="s">
        <v>298</v>
      </c>
      <c r="AJ126" s="14" t="s">
        <v>445</v>
      </c>
      <c r="AK126" s="14" t="s">
        <v>446</v>
      </c>
      <c r="AM126" s="11" t="s">
        <v>827</v>
      </c>
      <c r="AN126" s="11" t="s">
        <v>446</v>
      </c>
      <c r="AP126" s="1" t="s">
        <v>98</v>
      </c>
      <c r="AQ126" s="1" t="s">
        <v>160</v>
      </c>
      <c r="AR126" s="6">
        <v>4</v>
      </c>
      <c r="AS126" s="6" t="s">
        <v>298</v>
      </c>
      <c r="AT126" s="6" t="s">
        <v>445</v>
      </c>
      <c r="AU126" s="6">
        <v>5</v>
      </c>
      <c r="AV126" s="36"/>
      <c r="AW126" s="36"/>
      <c r="AX126" s="36"/>
      <c r="AY126" s="36"/>
      <c r="AZ126" s="36"/>
      <c r="BC126" s="24" t="str">
        <f t="shared" si="13"/>
        <v>Obese</v>
      </c>
      <c r="BE126" s="70" t="s">
        <v>828</v>
      </c>
    </row>
    <row r="127" spans="1:63" ht="20.100000000000001" customHeight="1">
      <c r="A127" s="29" t="s">
        <v>829</v>
      </c>
      <c r="B127" s="8">
        <v>45545</v>
      </c>
      <c r="C127" s="1" t="s">
        <v>117</v>
      </c>
      <c r="D127" s="6">
        <v>27</v>
      </c>
      <c r="G127" s="6" t="s">
        <v>63</v>
      </c>
      <c r="H127" s="33" t="str">
        <f t="shared" si="19"/>
        <v>No</v>
      </c>
      <c r="I127" s="33">
        <v>71.2</v>
      </c>
      <c r="J127" s="6">
        <v>23.2</v>
      </c>
      <c r="K127" s="6">
        <v>10.5</v>
      </c>
      <c r="L127" s="6">
        <v>1613</v>
      </c>
      <c r="M127" s="6">
        <v>30.7</v>
      </c>
      <c r="N127" s="6">
        <v>36.200000000000003</v>
      </c>
      <c r="O127" s="6">
        <v>24.2</v>
      </c>
      <c r="P127" s="6">
        <v>48.1</v>
      </c>
      <c r="Q127" s="6">
        <v>16.100000000000001</v>
      </c>
      <c r="R127" s="6">
        <v>20.100000000000001</v>
      </c>
      <c r="S127" s="6">
        <v>14.4</v>
      </c>
      <c r="T127" s="6">
        <v>20.100000000000001</v>
      </c>
      <c r="U127" s="6">
        <v>24.1</v>
      </c>
      <c r="V127" s="6">
        <v>55</v>
      </c>
      <c r="W127" s="6">
        <v>39.4</v>
      </c>
      <c r="X127" s="6">
        <v>39</v>
      </c>
      <c r="Y127" s="56">
        <f t="shared" si="17"/>
        <v>39.200000000000003</v>
      </c>
      <c r="Z127" s="6">
        <v>47.4</v>
      </c>
      <c r="AA127" s="6">
        <v>45.7</v>
      </c>
      <c r="AB127" s="56">
        <f t="shared" si="15"/>
        <v>46.55</v>
      </c>
      <c r="AC127" s="6">
        <v>49</v>
      </c>
      <c r="AD127" s="6">
        <v>49.6</v>
      </c>
      <c r="AE127" s="56">
        <f t="shared" si="18"/>
        <v>49.3</v>
      </c>
      <c r="AF127" s="14" t="s">
        <v>334</v>
      </c>
      <c r="AG127" s="14" t="s">
        <v>307</v>
      </c>
      <c r="AH127" s="14" t="s">
        <v>308</v>
      </c>
      <c r="AI127" s="14" t="s">
        <v>131</v>
      </c>
      <c r="AJ127" s="14" t="s">
        <v>323</v>
      </c>
      <c r="AK127" s="14" t="s">
        <v>414</v>
      </c>
      <c r="AL127" s="1" t="s">
        <v>830</v>
      </c>
      <c r="AM127" s="11" t="s">
        <v>415</v>
      </c>
      <c r="AN127" s="11" t="s">
        <v>414</v>
      </c>
      <c r="AP127" s="1" t="s">
        <v>307</v>
      </c>
      <c r="AQ127" s="1" t="s">
        <v>308</v>
      </c>
      <c r="AR127" s="6">
        <v>5</v>
      </c>
      <c r="AS127" s="6" t="s">
        <v>580</v>
      </c>
      <c r="AT127" s="6" t="s">
        <v>323</v>
      </c>
      <c r="AU127" s="6">
        <v>5</v>
      </c>
      <c r="AV127" s="36"/>
      <c r="AW127" s="36"/>
      <c r="AX127" s="36"/>
      <c r="AY127" s="36"/>
      <c r="AZ127" s="36"/>
      <c r="BC127" s="24" t="str">
        <f t="shared" si="13"/>
        <v>Not Obese</v>
      </c>
      <c r="BE127" s="1" t="s">
        <v>831</v>
      </c>
    </row>
    <row r="128" spans="1:63" ht="20.100000000000001" customHeight="1">
      <c r="A128" s="29" t="s">
        <v>832</v>
      </c>
      <c r="B128" s="8">
        <v>45545</v>
      </c>
      <c r="C128" s="1" t="s">
        <v>62</v>
      </c>
      <c r="D128" s="6">
        <v>32</v>
      </c>
      <c r="G128" s="6" t="s">
        <v>85</v>
      </c>
      <c r="H128" s="33" t="str">
        <f t="shared" si="19"/>
        <v>Yes</v>
      </c>
      <c r="I128" s="33">
        <v>50</v>
      </c>
      <c r="J128" s="6">
        <v>32.700000000000003</v>
      </c>
      <c r="K128" s="6">
        <v>3.5</v>
      </c>
      <c r="L128" s="6">
        <v>1102</v>
      </c>
      <c r="M128" s="6">
        <v>23.4</v>
      </c>
      <c r="N128" s="6">
        <v>26.9</v>
      </c>
      <c r="O128" s="6">
        <v>18.2</v>
      </c>
      <c r="P128" s="6">
        <v>35</v>
      </c>
      <c r="Q128" s="6">
        <v>25</v>
      </c>
      <c r="R128" s="6">
        <v>43.4</v>
      </c>
      <c r="S128" s="6">
        <v>22.4</v>
      </c>
      <c r="T128" s="6">
        <v>34.4</v>
      </c>
      <c r="U128" s="6">
        <v>19.8</v>
      </c>
      <c r="V128" s="6">
        <v>53</v>
      </c>
      <c r="W128" s="6">
        <v>40.4</v>
      </c>
      <c r="X128" s="6">
        <v>40.200000000000003</v>
      </c>
      <c r="Y128" s="56">
        <f t="shared" si="17"/>
        <v>40.299999999999997</v>
      </c>
      <c r="Z128" s="6">
        <v>45.2</v>
      </c>
      <c r="AA128" s="6">
        <v>44.6</v>
      </c>
      <c r="AB128" s="56">
        <f t="shared" si="15"/>
        <v>44.900000000000006</v>
      </c>
      <c r="AC128" s="6">
        <v>46.9</v>
      </c>
      <c r="AD128" s="6">
        <v>45.3</v>
      </c>
      <c r="AE128" s="56">
        <f t="shared" si="18"/>
        <v>46.099999999999994</v>
      </c>
      <c r="AF128" s="14" t="s">
        <v>415</v>
      </c>
      <c r="AG128" s="14" t="s">
        <v>307</v>
      </c>
      <c r="AH128" s="14" t="s">
        <v>359</v>
      </c>
      <c r="AI128" s="14" t="s">
        <v>364</v>
      </c>
      <c r="AJ128" s="14" t="s">
        <v>365</v>
      </c>
      <c r="AK128" s="14" t="s">
        <v>463</v>
      </c>
      <c r="AM128" s="11" t="s">
        <v>128</v>
      </c>
      <c r="AN128" s="11" t="s">
        <v>463</v>
      </c>
      <c r="AP128" s="1" t="s">
        <v>631</v>
      </c>
      <c r="AQ128" s="1" t="s">
        <v>359</v>
      </c>
      <c r="AR128" s="6">
        <v>5</v>
      </c>
      <c r="AS128" s="6" t="s">
        <v>323</v>
      </c>
      <c r="AT128" s="6" t="s">
        <v>365</v>
      </c>
      <c r="AU128" s="6">
        <v>4</v>
      </c>
      <c r="AV128" s="36"/>
      <c r="AW128" s="36"/>
      <c r="AX128" s="36"/>
      <c r="AY128" s="36"/>
      <c r="AZ128" s="36"/>
      <c r="BB128" s="24" t="s">
        <v>833</v>
      </c>
      <c r="BC128" s="24" t="str">
        <f t="shared" si="13"/>
        <v>Not Obese</v>
      </c>
      <c r="BE128" s="1" t="s">
        <v>834</v>
      </c>
    </row>
    <row r="129" spans="1:57" ht="20.100000000000001" customHeight="1">
      <c r="A129" s="29" t="s">
        <v>835</v>
      </c>
      <c r="B129" s="8">
        <v>45545</v>
      </c>
      <c r="C129" s="1" t="s">
        <v>84</v>
      </c>
      <c r="D129" s="6">
        <v>19</v>
      </c>
      <c r="G129" s="6" t="s">
        <v>63</v>
      </c>
      <c r="H129" s="33" t="str">
        <f t="shared" si="19"/>
        <v>Yes</v>
      </c>
      <c r="I129" s="33">
        <v>97.1</v>
      </c>
      <c r="J129" s="6">
        <v>34</v>
      </c>
      <c r="K129" s="6">
        <v>25</v>
      </c>
      <c r="L129" s="6">
        <v>1957</v>
      </c>
      <c r="M129" s="6">
        <v>26.8</v>
      </c>
      <c r="N129" s="6">
        <v>32.700000000000003</v>
      </c>
      <c r="O129" s="6">
        <v>18.100000000000001</v>
      </c>
      <c r="P129" s="6">
        <v>44.3</v>
      </c>
      <c r="Q129" s="6">
        <v>24.4</v>
      </c>
      <c r="R129" s="6">
        <v>30.8</v>
      </c>
      <c r="S129" s="6">
        <v>22.9</v>
      </c>
      <c r="T129" s="6">
        <v>31.7</v>
      </c>
      <c r="U129" s="6">
        <v>34</v>
      </c>
      <c r="V129" s="6">
        <v>71</v>
      </c>
      <c r="W129" s="6">
        <v>41.7</v>
      </c>
      <c r="X129" s="6">
        <v>42.1</v>
      </c>
      <c r="Y129" s="56">
        <f t="shared" si="17"/>
        <v>41.900000000000006</v>
      </c>
      <c r="Z129" s="6">
        <v>49.2</v>
      </c>
      <c r="AA129" s="6">
        <v>48.9</v>
      </c>
      <c r="AB129" s="56">
        <f t="shared" si="15"/>
        <v>49.05</v>
      </c>
      <c r="AC129" s="6">
        <v>43.1</v>
      </c>
      <c r="AD129" s="6">
        <v>43.6</v>
      </c>
      <c r="AE129" s="56">
        <f t="shared" si="18"/>
        <v>43.35</v>
      </c>
      <c r="AF129" s="14" t="s">
        <v>836</v>
      </c>
      <c r="AG129" s="14" t="s">
        <v>685</v>
      </c>
      <c r="AH129" s="14" t="s">
        <v>120</v>
      </c>
      <c r="AI129" s="14" t="s">
        <v>242</v>
      </c>
      <c r="AJ129" s="14" t="s">
        <v>121</v>
      </c>
      <c r="AK129" s="14" t="s">
        <v>753</v>
      </c>
      <c r="AL129" s="1" t="s">
        <v>837</v>
      </c>
      <c r="AM129" s="11" t="s">
        <v>836</v>
      </c>
      <c r="AN129" s="11" t="s">
        <v>753</v>
      </c>
      <c r="AP129" s="1" t="s">
        <v>685</v>
      </c>
      <c r="AQ129" s="1" t="s">
        <v>65</v>
      </c>
      <c r="AR129" s="6">
        <v>5</v>
      </c>
      <c r="AS129" s="6" t="s">
        <v>242</v>
      </c>
      <c r="AT129" s="6" t="s">
        <v>121</v>
      </c>
      <c r="AU129" s="6">
        <v>5</v>
      </c>
      <c r="AV129" s="36"/>
      <c r="AW129" s="36"/>
      <c r="AX129" s="36"/>
      <c r="AY129" s="36"/>
      <c r="AZ129" s="36"/>
      <c r="BB129" s="24" t="s">
        <v>838</v>
      </c>
      <c r="BC129" s="24" t="str">
        <f t="shared" si="13"/>
        <v>Obese</v>
      </c>
      <c r="BE129" s="1" t="s">
        <v>839</v>
      </c>
    </row>
    <row r="130" spans="1:57" ht="20.100000000000001" customHeight="1">
      <c r="A130" s="29" t="s">
        <v>840</v>
      </c>
      <c r="B130" s="8">
        <v>45545</v>
      </c>
      <c r="C130" s="1" t="s">
        <v>75</v>
      </c>
      <c r="D130" s="137">
        <v>18</v>
      </c>
      <c r="E130" s="137">
        <v>21</v>
      </c>
      <c r="F130" s="137" t="s">
        <v>2418</v>
      </c>
      <c r="G130" s="6" t="s">
        <v>85</v>
      </c>
      <c r="H130" s="33" t="str">
        <f t="shared" si="19"/>
        <v>Yes</v>
      </c>
      <c r="I130" s="33">
        <v>83</v>
      </c>
      <c r="J130" s="6">
        <v>37.6</v>
      </c>
      <c r="K130" s="6">
        <v>10</v>
      </c>
      <c r="L130" s="6">
        <v>1590</v>
      </c>
      <c r="M130" s="6">
        <v>23.9</v>
      </c>
      <c r="N130" s="6">
        <v>20.3</v>
      </c>
      <c r="O130" s="6">
        <v>16.3</v>
      </c>
      <c r="P130" s="6">
        <v>37.700000000000003</v>
      </c>
      <c r="Q130" s="6">
        <v>33.5</v>
      </c>
      <c r="R130" s="6">
        <v>49.1</v>
      </c>
      <c r="S130" s="6">
        <v>29.7</v>
      </c>
      <c r="T130" s="6">
        <v>43.7</v>
      </c>
      <c r="U130" s="6">
        <v>28.1</v>
      </c>
      <c r="V130" s="6">
        <v>69</v>
      </c>
      <c r="W130" s="6">
        <v>45.4</v>
      </c>
      <c r="X130" s="6">
        <v>43.3</v>
      </c>
      <c r="Y130" s="56">
        <f t="shared" si="17"/>
        <v>44.349999999999994</v>
      </c>
      <c r="Z130" s="6">
        <v>49.3</v>
      </c>
      <c r="AA130" s="6">
        <v>49.5</v>
      </c>
      <c r="AB130" s="56">
        <f t="shared" si="15"/>
        <v>49.4</v>
      </c>
      <c r="AC130" s="6">
        <v>46.2</v>
      </c>
      <c r="AD130" s="6">
        <v>45.6</v>
      </c>
      <c r="AE130" s="56">
        <f t="shared" si="18"/>
        <v>45.900000000000006</v>
      </c>
      <c r="AF130" s="14" t="s">
        <v>623</v>
      </c>
      <c r="AG130" s="14" t="s">
        <v>197</v>
      </c>
      <c r="AH130" s="14" t="s">
        <v>307</v>
      </c>
      <c r="AI130" s="14" t="s">
        <v>351</v>
      </c>
      <c r="AJ130" s="14" t="s">
        <v>580</v>
      </c>
      <c r="AK130" s="14" t="s">
        <v>582</v>
      </c>
      <c r="AM130" s="11" t="s">
        <v>623</v>
      </c>
      <c r="AN130" s="11" t="s">
        <v>582</v>
      </c>
      <c r="AP130" s="1" t="s">
        <v>197</v>
      </c>
      <c r="AQ130" s="1" t="s">
        <v>307</v>
      </c>
      <c r="AR130" s="6">
        <v>5</v>
      </c>
      <c r="AS130" s="6" t="s">
        <v>351</v>
      </c>
      <c r="AT130" s="6" t="s">
        <v>580</v>
      </c>
      <c r="AU130" s="6">
        <v>5</v>
      </c>
      <c r="AV130" s="36"/>
      <c r="AW130" s="36"/>
      <c r="AX130" s="36"/>
      <c r="AZ130" s="36"/>
      <c r="BB130" s="24" t="s">
        <v>841</v>
      </c>
      <c r="BC130" s="24" t="str">
        <f t="shared" si="13"/>
        <v>Obese</v>
      </c>
      <c r="BE130" s="1" t="s">
        <v>842</v>
      </c>
    </row>
    <row r="131" spans="1:57" ht="20.100000000000001" customHeight="1">
      <c r="A131" s="29" t="s">
        <v>843</v>
      </c>
      <c r="B131" s="8">
        <v>45549</v>
      </c>
      <c r="C131" s="1" t="s">
        <v>117</v>
      </c>
      <c r="D131" s="6">
        <v>17</v>
      </c>
      <c r="G131" s="6" t="s">
        <v>85</v>
      </c>
      <c r="H131" s="33" t="str">
        <f t="shared" si="19"/>
        <v>No</v>
      </c>
      <c r="I131" s="33">
        <v>56.7</v>
      </c>
      <c r="J131" s="6">
        <v>30.5</v>
      </c>
      <c r="K131" s="6">
        <v>3.5</v>
      </c>
      <c r="L131" s="6">
        <v>1218</v>
      </c>
      <c r="M131" s="6">
        <v>25.3</v>
      </c>
      <c r="N131" s="6">
        <v>27.6</v>
      </c>
      <c r="O131" s="6">
        <v>19.3</v>
      </c>
      <c r="P131" s="6">
        <v>38.700000000000003</v>
      </c>
      <c r="Q131" s="6">
        <v>25</v>
      </c>
      <c r="R131" s="6">
        <v>40.6</v>
      </c>
      <c r="S131" s="6">
        <v>21.6</v>
      </c>
      <c r="T131" s="6">
        <v>33.4</v>
      </c>
      <c r="U131" s="6">
        <v>21.3</v>
      </c>
      <c r="V131" s="6">
        <v>55</v>
      </c>
      <c r="W131" s="6">
        <v>41</v>
      </c>
      <c r="X131" s="6">
        <v>41.8</v>
      </c>
      <c r="Y131" s="56">
        <f t="shared" si="17"/>
        <v>41.4</v>
      </c>
      <c r="Z131" s="6">
        <v>46.8</v>
      </c>
      <c r="AA131" s="6">
        <v>46.3</v>
      </c>
      <c r="AB131" s="56">
        <f t="shared" si="15"/>
        <v>46.55</v>
      </c>
      <c r="AC131" s="6">
        <v>44.5</v>
      </c>
      <c r="AD131" s="6">
        <v>43.3</v>
      </c>
      <c r="AE131" s="56">
        <f t="shared" si="18"/>
        <v>43.9</v>
      </c>
      <c r="AF131" s="14" t="s">
        <v>128</v>
      </c>
      <c r="AG131" s="14" t="s">
        <v>221</v>
      </c>
      <c r="AH131" s="14" t="s">
        <v>130</v>
      </c>
      <c r="AI131" s="14" t="s">
        <v>131</v>
      </c>
      <c r="AJ131" s="14" t="s">
        <v>311</v>
      </c>
      <c r="AK131" s="14" t="s">
        <v>135</v>
      </c>
      <c r="AM131" s="11" t="s">
        <v>128</v>
      </c>
      <c r="AN131" s="11" t="s">
        <v>135</v>
      </c>
      <c r="AO131" s="1" t="s">
        <v>844</v>
      </c>
      <c r="AP131" s="1" t="s">
        <v>221</v>
      </c>
      <c r="AQ131" s="1" t="s">
        <v>130</v>
      </c>
      <c r="AR131" s="6">
        <v>5</v>
      </c>
      <c r="AS131" s="6" t="s">
        <v>137</v>
      </c>
      <c r="AT131" s="6" t="s">
        <v>311</v>
      </c>
      <c r="AU131" s="6">
        <v>5</v>
      </c>
      <c r="AV131" s="36"/>
      <c r="AW131" s="36"/>
      <c r="AX131" s="36"/>
      <c r="AY131" s="36"/>
      <c r="AZ131" s="36"/>
      <c r="BC131" s="24" t="str">
        <f t="shared" si="13"/>
        <v>Not Obese</v>
      </c>
      <c r="BE131" s="1" t="s">
        <v>845</v>
      </c>
    </row>
    <row r="132" spans="1:57" ht="80.099999999999994" customHeight="1">
      <c r="A132" s="29" t="s">
        <v>846</v>
      </c>
      <c r="B132" s="73">
        <v>45549</v>
      </c>
      <c r="C132" s="29" t="s">
        <v>62</v>
      </c>
      <c r="D132" s="137">
        <v>24</v>
      </c>
      <c r="E132" s="137">
        <v>24</v>
      </c>
      <c r="F132" s="137">
        <v>28</v>
      </c>
      <c r="G132" s="26" t="s">
        <v>85</v>
      </c>
      <c r="H132" s="33" t="str">
        <f t="shared" si="19"/>
        <v>Yes</v>
      </c>
      <c r="I132" s="33">
        <v>52.1</v>
      </c>
      <c r="J132" s="6">
        <v>33.9</v>
      </c>
      <c r="K132" s="6">
        <v>4</v>
      </c>
      <c r="L132" s="6">
        <v>1130</v>
      </c>
      <c r="M132" s="6">
        <v>23</v>
      </c>
      <c r="N132" s="6">
        <v>25.9</v>
      </c>
      <c r="O132" s="6">
        <v>17.399999999999999</v>
      </c>
      <c r="P132" s="6">
        <v>34.700000000000003</v>
      </c>
      <c r="Q132" s="6">
        <v>25.8</v>
      </c>
      <c r="R132" s="6">
        <v>44.4</v>
      </c>
      <c r="S132" s="6">
        <v>23.3</v>
      </c>
      <c r="T132" s="6">
        <v>34.9</v>
      </c>
      <c r="U132" s="6">
        <v>20.100000000000001</v>
      </c>
      <c r="V132" s="6">
        <v>60</v>
      </c>
      <c r="W132" s="6">
        <v>38</v>
      </c>
      <c r="X132" s="6">
        <v>37.799999999999997</v>
      </c>
      <c r="Y132" s="56">
        <f t="shared" si="17"/>
        <v>37.9</v>
      </c>
      <c r="Z132" s="6">
        <v>45.5</v>
      </c>
      <c r="AA132" s="6">
        <v>45.3</v>
      </c>
      <c r="AB132" s="56">
        <f t="shared" si="15"/>
        <v>45.4</v>
      </c>
      <c r="AC132" s="6">
        <v>43.1</v>
      </c>
      <c r="AD132" s="6">
        <v>43.6</v>
      </c>
      <c r="AE132" s="56">
        <f t="shared" si="18"/>
        <v>43.35</v>
      </c>
      <c r="AF132" s="14" t="s">
        <v>623</v>
      </c>
      <c r="AG132" s="14" t="s">
        <v>397</v>
      </c>
      <c r="AH132" s="14" t="s">
        <v>129</v>
      </c>
      <c r="AI132" s="14" t="s">
        <v>580</v>
      </c>
      <c r="AJ132" s="14" t="s">
        <v>323</v>
      </c>
      <c r="AK132" s="14" t="s">
        <v>135</v>
      </c>
      <c r="AM132" s="11" t="s">
        <v>676</v>
      </c>
      <c r="AN132" s="11" t="s">
        <v>135</v>
      </c>
      <c r="AP132" s="1" t="s">
        <v>397</v>
      </c>
      <c r="AQ132" s="1" t="s">
        <v>129</v>
      </c>
      <c r="AR132" s="6">
        <v>5</v>
      </c>
      <c r="AS132" s="6" t="s">
        <v>580</v>
      </c>
      <c r="AT132" s="6" t="s">
        <v>323</v>
      </c>
      <c r="AU132" s="6">
        <v>5</v>
      </c>
      <c r="AV132" s="36"/>
      <c r="AW132" s="36"/>
      <c r="AX132" s="26"/>
      <c r="AY132" s="36"/>
      <c r="AZ132" s="36"/>
      <c r="BB132" s="52" t="s">
        <v>847</v>
      </c>
      <c r="BC132" s="24" t="str">
        <f t="shared" ref="BC132:BC195" si="20">IF(AND(G132="Male", J132&gt;25, U132&gt;24.9), "Obese", IF(AND(G132="Female", J132&gt;32, U132&gt;24.9), "Obese", "Not Obese"))</f>
        <v>Not Obese</v>
      </c>
      <c r="BE132" s="20" t="s">
        <v>848</v>
      </c>
    </row>
    <row r="133" spans="1:57" ht="20.100000000000001" customHeight="1">
      <c r="A133" s="29" t="s">
        <v>849</v>
      </c>
      <c r="B133" s="8">
        <v>45549</v>
      </c>
      <c r="C133" s="1" t="s">
        <v>84</v>
      </c>
      <c r="D133" s="6">
        <v>20</v>
      </c>
      <c r="G133" s="6" t="s">
        <v>85</v>
      </c>
      <c r="H133" s="33" t="str">
        <f t="shared" si="19"/>
        <v>No</v>
      </c>
      <c r="I133" s="33">
        <v>48.1</v>
      </c>
      <c r="J133" s="6">
        <v>30.8</v>
      </c>
      <c r="K133" s="6">
        <v>3.5</v>
      </c>
      <c r="L133" s="6">
        <v>1079</v>
      </c>
      <c r="M133" s="6">
        <v>23.9</v>
      </c>
      <c r="N133" s="6">
        <v>27.8</v>
      </c>
      <c r="O133" s="6">
        <v>18.600000000000001</v>
      </c>
      <c r="P133" s="6">
        <v>35.6</v>
      </c>
      <c r="Q133" s="6">
        <v>24.2</v>
      </c>
      <c r="R133" s="6">
        <v>41</v>
      </c>
      <c r="S133" s="6">
        <v>21.2</v>
      </c>
      <c r="T133" s="6">
        <v>32.799999999999997</v>
      </c>
      <c r="U133" s="6">
        <v>20</v>
      </c>
      <c r="V133" s="6">
        <v>52</v>
      </c>
      <c r="W133" s="6">
        <v>37.5</v>
      </c>
      <c r="X133" s="6">
        <v>38.9</v>
      </c>
      <c r="Y133" s="56">
        <f t="shared" si="17"/>
        <v>38.200000000000003</v>
      </c>
      <c r="Z133" s="6">
        <v>46.2</v>
      </c>
      <c r="AA133" s="6">
        <v>45.3</v>
      </c>
      <c r="AB133" s="56">
        <f t="shared" si="15"/>
        <v>45.75</v>
      </c>
      <c r="AC133" s="6">
        <v>40.5</v>
      </c>
      <c r="AD133" s="6">
        <v>41</v>
      </c>
      <c r="AE133" s="56">
        <f t="shared" si="18"/>
        <v>40.75</v>
      </c>
      <c r="AF133" s="14" t="s">
        <v>306</v>
      </c>
      <c r="AG133" s="14" t="s">
        <v>624</v>
      </c>
      <c r="AH133" s="14" t="s">
        <v>631</v>
      </c>
      <c r="AI133" s="14" t="s">
        <v>625</v>
      </c>
      <c r="AJ133" s="14" t="s">
        <v>364</v>
      </c>
      <c r="AK133" s="14" t="s">
        <v>672</v>
      </c>
      <c r="AM133" s="11" t="s">
        <v>306</v>
      </c>
      <c r="AN133" s="11" t="s">
        <v>672</v>
      </c>
      <c r="AP133" s="1" t="s">
        <v>624</v>
      </c>
      <c r="AQ133" s="1" t="s">
        <v>631</v>
      </c>
      <c r="AR133" s="6">
        <v>5</v>
      </c>
      <c r="AS133" s="6" t="s">
        <v>625</v>
      </c>
      <c r="AT133" s="6" t="s">
        <v>364</v>
      </c>
      <c r="AU133" s="6">
        <v>5</v>
      </c>
      <c r="AV133" s="36"/>
      <c r="AW133" s="36"/>
      <c r="AX133" s="36"/>
      <c r="AY133" s="36"/>
      <c r="AZ133" s="36"/>
      <c r="BB133" s="24" t="s">
        <v>850</v>
      </c>
      <c r="BC133" s="24" t="str">
        <f t="shared" si="20"/>
        <v>Not Obese</v>
      </c>
      <c r="BE133" s="1" t="s">
        <v>851</v>
      </c>
    </row>
    <row r="134" spans="1:57" ht="39.950000000000003" customHeight="1">
      <c r="A134" s="29" t="s">
        <v>852</v>
      </c>
      <c r="B134" s="8">
        <v>45549</v>
      </c>
      <c r="C134" s="1" t="s">
        <v>75</v>
      </c>
      <c r="D134" s="6">
        <v>12</v>
      </c>
      <c r="G134" s="6" t="s">
        <v>63</v>
      </c>
      <c r="H134" s="33" t="str">
        <f t="shared" si="19"/>
        <v>Yes</v>
      </c>
      <c r="I134" s="33">
        <v>67.2</v>
      </c>
      <c r="J134" s="6">
        <v>27.2</v>
      </c>
      <c r="K134" s="6">
        <v>8.5</v>
      </c>
      <c r="L134" s="6">
        <v>1530</v>
      </c>
      <c r="M134" s="6">
        <v>29.2</v>
      </c>
      <c r="N134" s="6">
        <v>35.799999999999997</v>
      </c>
      <c r="O134" s="6">
        <v>21.9</v>
      </c>
      <c r="P134" s="6">
        <v>46.7</v>
      </c>
      <c r="Q134" s="6">
        <v>18.3</v>
      </c>
      <c r="R134" s="6">
        <v>24.6</v>
      </c>
      <c r="S134" s="6">
        <v>16.100000000000001</v>
      </c>
      <c r="T134" s="6">
        <v>24.9</v>
      </c>
      <c r="U134" s="6">
        <v>22.2</v>
      </c>
      <c r="V134" s="6">
        <v>51</v>
      </c>
      <c r="W134" s="6">
        <v>35.299999999999997</v>
      </c>
      <c r="X134" s="6">
        <v>35.9</v>
      </c>
      <c r="Y134" s="56">
        <f t="shared" si="17"/>
        <v>35.599999999999994</v>
      </c>
      <c r="Z134" s="6">
        <v>47.1</v>
      </c>
      <c r="AA134" s="6">
        <v>46.2</v>
      </c>
      <c r="AB134" s="56">
        <f t="shared" si="15"/>
        <v>46.650000000000006</v>
      </c>
      <c r="AC134" s="6">
        <v>49.2</v>
      </c>
      <c r="AD134" s="6">
        <v>48.8</v>
      </c>
      <c r="AE134" s="56">
        <f t="shared" si="18"/>
        <v>49</v>
      </c>
      <c r="AF134" s="14" t="s">
        <v>567</v>
      </c>
      <c r="AG134" s="14" t="s">
        <v>454</v>
      </c>
      <c r="AH134" s="14" t="s">
        <v>137</v>
      </c>
      <c r="AI134" s="14" t="s">
        <v>215</v>
      </c>
      <c r="AJ134" s="14" t="s">
        <v>311</v>
      </c>
      <c r="AK134" s="14" t="s">
        <v>133</v>
      </c>
      <c r="AM134" s="11" t="s">
        <v>567</v>
      </c>
      <c r="AN134" s="11" t="s">
        <v>133</v>
      </c>
      <c r="AP134" s="1" t="s">
        <v>454</v>
      </c>
      <c r="AQ134" s="1" t="s">
        <v>222</v>
      </c>
      <c r="AR134" s="6">
        <v>5</v>
      </c>
      <c r="AS134" s="6" t="s">
        <v>138</v>
      </c>
      <c r="AT134" s="6" t="s">
        <v>311</v>
      </c>
      <c r="AU134" s="6">
        <v>4</v>
      </c>
      <c r="AV134" s="36"/>
      <c r="AW134" s="36"/>
      <c r="AX134" s="36"/>
      <c r="AY134" s="36"/>
      <c r="AZ134" s="36"/>
      <c r="BB134" s="24" t="s">
        <v>853</v>
      </c>
      <c r="BC134" s="24" t="str">
        <f t="shared" si="20"/>
        <v>Not Obese</v>
      </c>
      <c r="BE134" s="1" t="s">
        <v>854</v>
      </c>
    </row>
    <row r="135" spans="1:57" ht="99.95" customHeight="1">
      <c r="A135" s="29" t="s">
        <v>855</v>
      </c>
      <c r="B135" s="8">
        <v>45551</v>
      </c>
      <c r="C135" s="1" t="s">
        <v>117</v>
      </c>
      <c r="D135" s="6">
        <v>24</v>
      </c>
      <c r="G135" s="6" t="s">
        <v>85</v>
      </c>
      <c r="H135" s="33" t="str">
        <f t="shared" si="19"/>
        <v>No</v>
      </c>
      <c r="I135" s="33">
        <v>40</v>
      </c>
      <c r="J135" s="6">
        <v>30.6</v>
      </c>
      <c r="K135" s="6">
        <v>0.5</v>
      </c>
      <c r="L135" s="6">
        <v>956</v>
      </c>
      <c r="M135" s="6">
        <v>23.8</v>
      </c>
      <c r="N135" s="6">
        <v>29.5</v>
      </c>
      <c r="O135" s="6">
        <v>19.100000000000001</v>
      </c>
      <c r="P135" s="6">
        <v>33.4</v>
      </c>
      <c r="Q135" s="6">
        <v>20.7</v>
      </c>
      <c r="R135" s="6">
        <v>40.5</v>
      </c>
      <c r="S135" s="6">
        <v>18.8</v>
      </c>
      <c r="T135" s="6">
        <v>28.9</v>
      </c>
      <c r="U135" s="6">
        <v>15.2</v>
      </c>
      <c r="V135" s="6">
        <v>39</v>
      </c>
      <c r="W135" s="6">
        <v>34.799999999999997</v>
      </c>
      <c r="X135" s="6">
        <v>35.200000000000003</v>
      </c>
      <c r="Y135" s="56">
        <f t="shared" si="17"/>
        <v>35</v>
      </c>
      <c r="Z135" s="6">
        <v>41.7</v>
      </c>
      <c r="AA135" s="6">
        <v>41.9</v>
      </c>
      <c r="AB135" s="56">
        <f t="shared" si="15"/>
        <v>41.8</v>
      </c>
      <c r="AC135" s="6">
        <v>44.8</v>
      </c>
      <c r="AD135" s="6">
        <v>45.4</v>
      </c>
      <c r="AE135" s="56">
        <f t="shared" si="18"/>
        <v>45.099999999999994</v>
      </c>
      <c r="AF135" s="14" t="s">
        <v>670</v>
      </c>
      <c r="AG135" s="14" t="s">
        <v>197</v>
      </c>
      <c r="AH135" s="14" t="s">
        <v>221</v>
      </c>
      <c r="AI135" s="14" t="s">
        <v>328</v>
      </c>
      <c r="AJ135" s="14" t="s">
        <v>215</v>
      </c>
      <c r="AK135" s="14" t="s">
        <v>216</v>
      </c>
      <c r="AM135" s="11" t="s">
        <v>670</v>
      </c>
      <c r="AN135" s="11" t="s">
        <v>216</v>
      </c>
      <c r="AP135" s="1" t="s">
        <v>197</v>
      </c>
      <c r="AQ135" s="1" t="s">
        <v>307</v>
      </c>
      <c r="AR135" s="6">
        <v>5</v>
      </c>
      <c r="AS135" s="6" t="s">
        <v>328</v>
      </c>
      <c r="AT135" s="6" t="s">
        <v>138</v>
      </c>
      <c r="AU135" s="6">
        <v>5</v>
      </c>
      <c r="AV135" s="36"/>
      <c r="AW135" s="36"/>
      <c r="AX135" s="36"/>
      <c r="AY135" s="36"/>
      <c r="AZ135" s="36"/>
      <c r="BB135" s="24" t="s">
        <v>856</v>
      </c>
      <c r="BC135" s="24" t="str">
        <f t="shared" si="20"/>
        <v>Not Obese</v>
      </c>
      <c r="BE135" s="1" t="s">
        <v>857</v>
      </c>
    </row>
    <row r="136" spans="1:57" ht="39.950000000000003" customHeight="1">
      <c r="A136" s="29" t="s">
        <v>858</v>
      </c>
      <c r="B136" s="8">
        <v>45551</v>
      </c>
      <c r="C136" s="1" t="s">
        <v>84</v>
      </c>
      <c r="D136" s="6">
        <v>26</v>
      </c>
      <c r="G136" s="6" t="s">
        <v>85</v>
      </c>
      <c r="H136" s="33" t="str">
        <f t="shared" si="19"/>
        <v>Yes</v>
      </c>
      <c r="I136" s="33">
        <v>63.1</v>
      </c>
      <c r="J136" s="6">
        <v>36.9</v>
      </c>
      <c r="K136" s="6">
        <v>7</v>
      </c>
      <c r="L136" s="6">
        <v>1286</v>
      </c>
      <c r="M136" s="6">
        <v>22.6</v>
      </c>
      <c r="N136" s="6">
        <v>23.1</v>
      </c>
      <c r="O136" s="6">
        <v>16.5</v>
      </c>
      <c r="P136" s="6">
        <v>35</v>
      </c>
      <c r="Q136" s="6">
        <v>29.9</v>
      </c>
      <c r="R136" s="6">
        <v>48.4</v>
      </c>
      <c r="S136" s="6">
        <v>27.1</v>
      </c>
      <c r="T136" s="6">
        <v>40.5</v>
      </c>
      <c r="U136" s="6">
        <v>23.7</v>
      </c>
      <c r="V136" s="6">
        <v>67</v>
      </c>
      <c r="W136" s="6">
        <v>42.3</v>
      </c>
      <c r="X136" s="6">
        <v>41.6</v>
      </c>
      <c r="Y136" s="56">
        <f t="shared" si="17"/>
        <v>41.95</v>
      </c>
      <c r="Z136" s="6">
        <v>48.2</v>
      </c>
      <c r="AA136" s="6">
        <v>48.6</v>
      </c>
      <c r="AB136" s="56">
        <f t="shared" si="15"/>
        <v>48.400000000000006</v>
      </c>
      <c r="AC136" s="6">
        <v>42.4</v>
      </c>
      <c r="AD136" s="6">
        <v>42.1</v>
      </c>
      <c r="AE136" s="56">
        <f t="shared" si="18"/>
        <v>42.25</v>
      </c>
      <c r="AF136" s="14" t="s">
        <v>567</v>
      </c>
      <c r="AG136" s="14" t="s">
        <v>631</v>
      </c>
      <c r="AH136" s="14" t="s">
        <v>359</v>
      </c>
      <c r="AI136" s="14" t="s">
        <v>364</v>
      </c>
      <c r="AJ136" s="14" t="s">
        <v>365</v>
      </c>
      <c r="AK136" s="14" t="s">
        <v>225</v>
      </c>
      <c r="AM136" s="11" t="s">
        <v>567</v>
      </c>
      <c r="AN136" s="11" t="s">
        <v>225</v>
      </c>
      <c r="AP136" s="1" t="s">
        <v>631</v>
      </c>
      <c r="AQ136" s="1" t="s">
        <v>359</v>
      </c>
      <c r="AR136" s="6">
        <v>5</v>
      </c>
      <c r="AS136" s="6" t="s">
        <v>364</v>
      </c>
      <c r="AT136" s="6" t="s">
        <v>365</v>
      </c>
      <c r="AU136" s="6">
        <v>5</v>
      </c>
      <c r="AV136" s="36"/>
      <c r="AW136" s="36"/>
      <c r="AX136" s="36"/>
      <c r="AY136" s="36"/>
      <c r="AZ136" s="36"/>
      <c r="BB136" s="24" t="s">
        <v>859</v>
      </c>
      <c r="BC136" s="24" t="str">
        <f t="shared" si="20"/>
        <v>Not Obese</v>
      </c>
      <c r="BE136" s="1" t="s">
        <v>860</v>
      </c>
    </row>
    <row r="137" spans="1:57" ht="20.100000000000001" customHeight="1">
      <c r="A137" s="29" t="s">
        <v>861</v>
      </c>
      <c r="B137" s="8">
        <v>45551</v>
      </c>
      <c r="C137" s="1" t="s">
        <v>75</v>
      </c>
      <c r="D137" s="6">
        <v>32</v>
      </c>
      <c r="G137" s="6" t="s">
        <v>63</v>
      </c>
      <c r="H137" s="33" t="str">
        <f t="shared" ref="H137:H200" si="21">IF(OR(AND(G137="Male",J137&gt;=25),AND(G137="Female",J137&gt;=32)),"Yes","No")</f>
        <v>No</v>
      </c>
      <c r="I137" s="33">
        <v>74.8</v>
      </c>
      <c r="J137" s="6">
        <v>23.1</v>
      </c>
      <c r="K137" s="6">
        <v>11</v>
      </c>
      <c r="L137" s="6">
        <v>1677</v>
      </c>
      <c r="M137" s="6">
        <v>31.6</v>
      </c>
      <c r="N137" s="6">
        <v>36.200000000000003</v>
      </c>
      <c r="O137" s="6">
        <v>24.9</v>
      </c>
      <c r="P137" s="6">
        <v>48.9</v>
      </c>
      <c r="Q137" s="6">
        <v>16.2</v>
      </c>
      <c r="R137" s="6">
        <v>20.5</v>
      </c>
      <c r="S137" s="6">
        <v>14.5</v>
      </c>
      <c r="T137" s="6">
        <v>20.5</v>
      </c>
      <c r="U137" s="6">
        <v>24.7</v>
      </c>
      <c r="V137" s="6">
        <v>51</v>
      </c>
      <c r="W137" s="6">
        <v>38.5</v>
      </c>
      <c r="X137" s="6">
        <v>38.200000000000003</v>
      </c>
      <c r="Y137" s="56">
        <f t="shared" si="17"/>
        <v>38.35</v>
      </c>
      <c r="Z137" s="6">
        <v>46</v>
      </c>
      <c r="AA137" s="6">
        <v>46.8</v>
      </c>
      <c r="AB137" s="56">
        <f t="shared" si="15"/>
        <v>46.4</v>
      </c>
      <c r="AC137" s="6">
        <v>49</v>
      </c>
      <c r="AD137" s="6">
        <v>48.7</v>
      </c>
      <c r="AE137" s="56">
        <f t="shared" si="18"/>
        <v>48.85</v>
      </c>
      <c r="AF137" s="14" t="s">
        <v>862</v>
      </c>
      <c r="AG137" s="14" t="s">
        <v>211</v>
      </c>
      <c r="AH137" s="14" t="s">
        <v>863</v>
      </c>
      <c r="AI137" s="14" t="s">
        <v>68</v>
      </c>
      <c r="AJ137" s="14" t="s">
        <v>298</v>
      </c>
      <c r="AK137" s="14" t="s">
        <v>70</v>
      </c>
      <c r="AM137" s="11" t="s">
        <v>862</v>
      </c>
      <c r="AN137" s="11" t="s">
        <v>70</v>
      </c>
      <c r="AP137" s="1" t="s">
        <v>211</v>
      </c>
      <c r="AQ137" s="1" t="s">
        <v>98</v>
      </c>
      <c r="AR137" s="6">
        <v>5</v>
      </c>
      <c r="AS137" s="6" t="s">
        <v>68</v>
      </c>
      <c r="AT137" s="6" t="s">
        <v>298</v>
      </c>
      <c r="AU137" s="6">
        <v>4</v>
      </c>
      <c r="AV137" s="36"/>
      <c r="AW137" s="36"/>
      <c r="AX137" s="36"/>
      <c r="AY137" s="36"/>
      <c r="AZ137" s="36"/>
      <c r="BB137" s="24" t="s">
        <v>864</v>
      </c>
      <c r="BC137" s="24" t="str">
        <f t="shared" si="20"/>
        <v>Not Obese</v>
      </c>
      <c r="BE137" s="1" t="s">
        <v>865</v>
      </c>
    </row>
    <row r="138" spans="1:57" ht="18.75" customHeight="1">
      <c r="A138" s="29" t="s">
        <v>866</v>
      </c>
      <c r="B138" s="8">
        <v>45552</v>
      </c>
      <c r="C138" s="1" t="s">
        <v>62</v>
      </c>
      <c r="D138" s="6">
        <v>28</v>
      </c>
      <c r="G138" s="6" t="s">
        <v>85</v>
      </c>
      <c r="H138" s="33" t="str">
        <f t="shared" si="21"/>
        <v>No</v>
      </c>
      <c r="I138" s="33">
        <v>46.2</v>
      </c>
      <c r="J138" s="6">
        <v>31.6</v>
      </c>
      <c r="K138" s="6">
        <v>3.5</v>
      </c>
      <c r="L138" s="6">
        <v>1046</v>
      </c>
      <c r="M138" s="6">
        <v>23.2</v>
      </c>
      <c r="N138" s="6">
        <v>27.4</v>
      </c>
      <c r="O138" s="6">
        <v>18.100000000000001</v>
      </c>
      <c r="P138" s="6">
        <v>35.1</v>
      </c>
      <c r="Q138" s="6">
        <v>24.6</v>
      </c>
      <c r="R138" s="6">
        <v>42</v>
      </c>
      <c r="S138" s="6">
        <v>21.7</v>
      </c>
      <c r="T138" s="6">
        <v>33.5</v>
      </c>
      <c r="U138" s="6">
        <v>20</v>
      </c>
      <c r="V138" s="6">
        <v>51</v>
      </c>
      <c r="W138" s="6">
        <v>39.5</v>
      </c>
      <c r="X138" s="6">
        <v>39</v>
      </c>
      <c r="Y138" s="56">
        <f t="shared" si="17"/>
        <v>39.25</v>
      </c>
      <c r="Z138" s="6">
        <v>41.2</v>
      </c>
      <c r="AA138" s="6">
        <v>41.4</v>
      </c>
      <c r="AB138" s="56">
        <f t="shared" si="15"/>
        <v>41.3</v>
      </c>
      <c r="AC138" s="6">
        <v>41.2</v>
      </c>
      <c r="AD138" s="6">
        <v>41</v>
      </c>
      <c r="AE138" s="56">
        <f t="shared" si="18"/>
        <v>41.1</v>
      </c>
      <c r="AF138" s="14" t="s">
        <v>363</v>
      </c>
      <c r="AG138" s="14" t="s">
        <v>349</v>
      </c>
      <c r="AH138" s="14" t="s">
        <v>197</v>
      </c>
      <c r="AI138" s="14" t="s">
        <v>325</v>
      </c>
      <c r="AJ138" s="14" t="s">
        <v>203</v>
      </c>
      <c r="AK138" s="14" t="s">
        <v>339</v>
      </c>
      <c r="AM138" s="11" t="s">
        <v>321</v>
      </c>
      <c r="AN138" s="11" t="s">
        <v>339</v>
      </c>
      <c r="AP138" s="1" t="s">
        <v>348</v>
      </c>
      <c r="AQ138" s="1" t="s">
        <v>197</v>
      </c>
      <c r="AR138" s="6">
        <v>7</v>
      </c>
      <c r="AS138" s="6" t="s">
        <v>325</v>
      </c>
      <c r="AT138" s="6" t="s">
        <v>203</v>
      </c>
      <c r="AU138" s="6">
        <v>5</v>
      </c>
      <c r="AV138" s="36"/>
      <c r="AW138" s="36"/>
      <c r="AX138" s="36"/>
      <c r="AY138" s="36"/>
      <c r="AZ138" s="36"/>
      <c r="BB138" s="52" t="s">
        <v>867</v>
      </c>
      <c r="BC138" s="24" t="str">
        <f t="shared" si="20"/>
        <v>Not Obese</v>
      </c>
      <c r="BE138" s="1" t="s">
        <v>868</v>
      </c>
    </row>
    <row r="139" spans="1:57" ht="18.75" customHeight="1">
      <c r="A139" s="29" t="s">
        <v>869</v>
      </c>
      <c r="B139" s="8">
        <v>45552</v>
      </c>
      <c r="C139" s="1" t="s">
        <v>84</v>
      </c>
      <c r="D139" s="148">
        <v>32</v>
      </c>
      <c r="E139" s="148"/>
      <c r="F139" s="148"/>
      <c r="G139" s="6" t="s">
        <v>85</v>
      </c>
      <c r="H139" s="33" t="str">
        <f t="shared" si="21"/>
        <v>No</v>
      </c>
      <c r="I139" s="33">
        <v>54.3</v>
      </c>
      <c r="J139" s="6">
        <v>28.9</v>
      </c>
      <c r="K139" s="6">
        <v>3.5</v>
      </c>
      <c r="L139" s="6">
        <v>1187</v>
      </c>
      <c r="M139" s="6">
        <v>25.9</v>
      </c>
      <c r="N139" s="6">
        <v>28.8</v>
      </c>
      <c r="O139" s="6">
        <v>20.399999999999999</v>
      </c>
      <c r="P139" s="6">
        <v>38.299999999999997</v>
      </c>
      <c r="Q139" s="6">
        <v>24.1</v>
      </c>
      <c r="R139" s="6">
        <v>39.5</v>
      </c>
      <c r="S139" s="6">
        <v>20.399999999999999</v>
      </c>
      <c r="T139" s="6">
        <v>33.5</v>
      </c>
      <c r="U139" s="6">
        <v>21.2</v>
      </c>
      <c r="V139" s="6">
        <v>45</v>
      </c>
      <c r="W139" s="6">
        <v>39.5</v>
      </c>
      <c r="X139" s="6">
        <v>39.6</v>
      </c>
      <c r="Y139" s="56">
        <f t="shared" si="17"/>
        <v>39.549999999999997</v>
      </c>
      <c r="Z139" s="6">
        <v>46.4</v>
      </c>
      <c r="AA139" s="6">
        <v>47.5</v>
      </c>
      <c r="AB139" s="56">
        <f t="shared" si="15"/>
        <v>46.95</v>
      </c>
      <c r="AC139" s="6">
        <v>44.2</v>
      </c>
      <c r="AD139" s="6">
        <v>44.9</v>
      </c>
      <c r="AE139" s="56">
        <f t="shared" si="18"/>
        <v>44.55</v>
      </c>
      <c r="AF139" s="14" t="s">
        <v>396</v>
      </c>
      <c r="AG139" s="14" t="s">
        <v>408</v>
      </c>
      <c r="AH139" s="14" t="s">
        <v>409</v>
      </c>
      <c r="AI139" s="14" t="s">
        <v>316</v>
      </c>
      <c r="AJ139" s="14" t="s">
        <v>625</v>
      </c>
      <c r="AK139" s="14" t="s">
        <v>410</v>
      </c>
      <c r="AL139" s="20" t="s">
        <v>870</v>
      </c>
      <c r="AM139" s="11" t="s">
        <v>396</v>
      </c>
      <c r="AN139" s="11" t="s">
        <v>410</v>
      </c>
      <c r="AP139" s="1" t="s">
        <v>408</v>
      </c>
      <c r="AQ139" s="1" t="s">
        <v>409</v>
      </c>
      <c r="AR139" s="6">
        <v>5</v>
      </c>
      <c r="AS139" s="6" t="s">
        <v>316</v>
      </c>
      <c r="AT139" s="6" t="s">
        <v>214</v>
      </c>
      <c r="AU139" s="6">
        <v>5</v>
      </c>
      <c r="AV139" s="36"/>
      <c r="AW139" s="36"/>
      <c r="AX139" s="36"/>
      <c r="AY139" s="36"/>
      <c r="AZ139" s="36"/>
      <c r="BC139" s="24" t="str">
        <f t="shared" si="20"/>
        <v>Not Obese</v>
      </c>
      <c r="BE139" s="6" t="s">
        <v>871</v>
      </c>
    </row>
    <row r="140" spans="1:57" ht="18.75" customHeight="1">
      <c r="A140" s="29" t="s">
        <v>872</v>
      </c>
      <c r="B140" s="8">
        <v>45552</v>
      </c>
      <c r="C140" s="1" t="s">
        <v>75</v>
      </c>
      <c r="D140" s="6">
        <v>26</v>
      </c>
      <c r="G140" s="6" t="s">
        <v>85</v>
      </c>
      <c r="H140" s="33" t="str">
        <f t="shared" si="21"/>
        <v>No</v>
      </c>
      <c r="I140" s="33">
        <v>56</v>
      </c>
      <c r="J140" s="6">
        <v>31.3</v>
      </c>
      <c r="K140" s="6">
        <v>5</v>
      </c>
      <c r="L140" s="6">
        <v>1203</v>
      </c>
      <c r="M140" s="6">
        <v>24.8</v>
      </c>
      <c r="N140" s="6">
        <v>27.2</v>
      </c>
      <c r="O140" s="6">
        <v>18.899999999999999</v>
      </c>
      <c r="P140" s="6">
        <v>37.200000000000003</v>
      </c>
      <c r="Q140" s="6">
        <v>25.8</v>
      </c>
      <c r="R140" s="6">
        <v>41.7</v>
      </c>
      <c r="S140" s="6">
        <v>22.4</v>
      </c>
      <c r="T140" s="6">
        <v>34.700000000000003</v>
      </c>
      <c r="U140" s="6">
        <v>21.9</v>
      </c>
      <c r="V140" s="6">
        <v>54</v>
      </c>
      <c r="W140" s="6">
        <v>40.9</v>
      </c>
      <c r="X140" s="6">
        <v>41.3</v>
      </c>
      <c r="Y140" s="56">
        <f t="shared" si="17"/>
        <v>41.099999999999994</v>
      </c>
      <c r="Z140" s="6">
        <v>43.5</v>
      </c>
      <c r="AA140" s="6">
        <v>44.1</v>
      </c>
      <c r="AB140" s="56">
        <f t="shared" si="15"/>
        <v>43.8</v>
      </c>
      <c r="AC140" s="6">
        <v>45.5</v>
      </c>
      <c r="AD140" s="6">
        <v>45.2</v>
      </c>
      <c r="AE140" s="56">
        <f t="shared" si="18"/>
        <v>45.35</v>
      </c>
      <c r="AF140" s="14" t="s">
        <v>306</v>
      </c>
      <c r="AG140" s="14" t="s">
        <v>409</v>
      </c>
      <c r="AH140" s="14" t="s">
        <v>454</v>
      </c>
      <c r="AI140" s="14" t="s">
        <v>214</v>
      </c>
      <c r="AJ140" s="14" t="s">
        <v>215</v>
      </c>
      <c r="AK140" s="14" t="s">
        <v>216</v>
      </c>
      <c r="AM140" s="11" t="s">
        <v>306</v>
      </c>
      <c r="AN140" s="11" t="s">
        <v>216</v>
      </c>
      <c r="AP140" s="1" t="s">
        <v>409</v>
      </c>
      <c r="AQ140" s="1" t="s">
        <v>454</v>
      </c>
      <c r="AR140" s="6">
        <v>5</v>
      </c>
      <c r="AS140" s="6" t="s">
        <v>214</v>
      </c>
      <c r="AT140" s="6" t="s">
        <v>215</v>
      </c>
      <c r="AU140" s="6">
        <v>5</v>
      </c>
      <c r="AV140" s="36"/>
      <c r="AW140" s="36"/>
      <c r="AX140" s="36"/>
      <c r="AY140" s="36"/>
      <c r="AZ140" s="36"/>
      <c r="BB140" s="24" t="s">
        <v>873</v>
      </c>
      <c r="BC140" s="24" t="str">
        <f t="shared" si="20"/>
        <v>Not Obese</v>
      </c>
      <c r="BE140" s="1" t="s">
        <v>874</v>
      </c>
    </row>
    <row r="141" spans="1:57" ht="18.75" customHeight="1">
      <c r="A141" s="29" t="s">
        <v>875</v>
      </c>
      <c r="B141" s="8">
        <v>45556</v>
      </c>
      <c r="C141" s="1" t="s">
        <v>117</v>
      </c>
      <c r="D141" s="137">
        <v>20</v>
      </c>
      <c r="E141" s="137">
        <v>20</v>
      </c>
      <c r="F141" s="137">
        <v>24</v>
      </c>
      <c r="G141" s="6" t="s">
        <v>63</v>
      </c>
      <c r="H141" s="33" t="str">
        <f t="shared" si="21"/>
        <v>Yes</v>
      </c>
      <c r="I141" s="33">
        <v>85.4</v>
      </c>
      <c r="J141" s="6">
        <v>30.9</v>
      </c>
      <c r="K141" s="6">
        <v>22</v>
      </c>
      <c r="L141" s="6">
        <v>1792</v>
      </c>
      <c r="M141" s="6">
        <v>27.4</v>
      </c>
      <c r="N141" s="6">
        <v>32.6</v>
      </c>
      <c r="O141" s="6">
        <v>19.5</v>
      </c>
      <c r="P141" s="6">
        <v>44.9</v>
      </c>
      <c r="Q141" s="6">
        <v>22</v>
      </c>
      <c r="R141" s="6">
        <v>26.8</v>
      </c>
      <c r="S141" s="6">
        <v>20.399999999999999</v>
      </c>
      <c r="T141" s="6">
        <v>27.6</v>
      </c>
      <c r="U141" s="6">
        <v>31</v>
      </c>
      <c r="V141" s="6">
        <v>70</v>
      </c>
      <c r="W141" s="6">
        <v>39.9</v>
      </c>
      <c r="X141" s="6">
        <v>38.700000000000003</v>
      </c>
      <c r="Y141" s="56">
        <f t="shared" si="17"/>
        <v>39.299999999999997</v>
      </c>
      <c r="Z141" s="6">
        <v>46.4</v>
      </c>
      <c r="AA141" s="6">
        <v>46.1</v>
      </c>
      <c r="AB141" s="56">
        <f>AVERAGE(Z141,AA141)</f>
        <v>46.25</v>
      </c>
      <c r="AC141" s="6">
        <v>46.4</v>
      </c>
      <c r="AD141" s="6">
        <v>46.9</v>
      </c>
      <c r="AE141" s="56">
        <f t="shared" si="18"/>
        <v>46.65</v>
      </c>
      <c r="AF141" s="14" t="s">
        <v>384</v>
      </c>
      <c r="AG141" s="14" t="s">
        <v>385</v>
      </c>
      <c r="AH141" s="14" t="s">
        <v>386</v>
      </c>
      <c r="AI141" s="14" t="s">
        <v>387</v>
      </c>
      <c r="AJ141" s="14" t="s">
        <v>375</v>
      </c>
      <c r="AK141" s="14" t="s">
        <v>382</v>
      </c>
      <c r="AL141" s="70" t="s">
        <v>876</v>
      </c>
      <c r="AM141" s="11" t="s">
        <v>384</v>
      </c>
      <c r="AN141" s="11" t="s">
        <v>382</v>
      </c>
      <c r="AP141" s="1" t="s">
        <v>385</v>
      </c>
      <c r="AQ141" s="1" t="s">
        <v>386</v>
      </c>
      <c r="AR141" s="6">
        <v>5</v>
      </c>
      <c r="AS141" s="6" t="s">
        <v>387</v>
      </c>
      <c r="AT141" s="6" t="s">
        <v>375</v>
      </c>
      <c r="AU141" s="6">
        <v>5</v>
      </c>
      <c r="AV141" s="36"/>
      <c r="AW141" s="36"/>
      <c r="AX141" s="36"/>
      <c r="AY141" s="36"/>
      <c r="AZ141" s="36"/>
      <c r="BB141" s="52" t="s">
        <v>877</v>
      </c>
      <c r="BC141" s="24" t="str">
        <f t="shared" si="20"/>
        <v>Obese</v>
      </c>
      <c r="BE141" s="1" t="s">
        <v>878</v>
      </c>
    </row>
    <row r="142" spans="1:57" ht="18.75" customHeight="1">
      <c r="A142" s="29" t="s">
        <v>879</v>
      </c>
      <c r="B142" s="8">
        <v>45556</v>
      </c>
      <c r="C142" s="1" t="s">
        <v>62</v>
      </c>
      <c r="D142" s="6">
        <v>22</v>
      </c>
      <c r="G142" s="6" t="s">
        <v>85</v>
      </c>
      <c r="H142" s="33" t="str">
        <f t="shared" si="21"/>
        <v>Yes</v>
      </c>
      <c r="I142" s="33">
        <v>66.5</v>
      </c>
      <c r="J142" s="6">
        <v>34.1</v>
      </c>
      <c r="K142" s="6">
        <v>6</v>
      </c>
      <c r="L142" s="6">
        <v>1354</v>
      </c>
      <c r="M142" s="6">
        <v>24.4</v>
      </c>
      <c r="N142" s="6">
        <v>24.5</v>
      </c>
      <c r="O142" s="6">
        <v>18.2</v>
      </c>
      <c r="P142" s="6">
        <v>37</v>
      </c>
      <c r="Q142" s="6">
        <v>28.7</v>
      </c>
      <c r="R142" s="6">
        <v>45.8</v>
      </c>
      <c r="S142" s="6">
        <v>25.3</v>
      </c>
      <c r="T142" s="6">
        <v>39.5</v>
      </c>
      <c r="U142" s="6">
        <v>23.8</v>
      </c>
      <c r="V142" s="6">
        <v>56</v>
      </c>
      <c r="W142" s="6">
        <v>41.9</v>
      </c>
      <c r="X142" s="6">
        <v>40.4</v>
      </c>
      <c r="Y142" s="56">
        <f t="shared" si="17"/>
        <v>41.15</v>
      </c>
      <c r="Z142" s="6">
        <v>50.4</v>
      </c>
      <c r="AA142" s="6">
        <v>49.5</v>
      </c>
      <c r="AB142" s="56">
        <f t="shared" si="15"/>
        <v>49.95</v>
      </c>
      <c r="AC142" s="6">
        <v>45.1</v>
      </c>
      <c r="AD142" s="6">
        <v>45.6</v>
      </c>
      <c r="AE142" s="56">
        <f t="shared" si="18"/>
        <v>45.35</v>
      </c>
      <c r="AF142" s="14" t="s">
        <v>220</v>
      </c>
      <c r="AG142" s="14" t="s">
        <v>409</v>
      </c>
      <c r="AH142" s="14" t="s">
        <v>454</v>
      </c>
      <c r="AI142" s="14" t="s">
        <v>625</v>
      </c>
      <c r="AJ142" s="14" t="s">
        <v>364</v>
      </c>
      <c r="AK142" s="14" t="s">
        <v>672</v>
      </c>
      <c r="AM142" s="11" t="s">
        <v>220</v>
      </c>
      <c r="AN142" s="11" t="s">
        <v>672</v>
      </c>
      <c r="AP142" s="1" t="s">
        <v>409</v>
      </c>
      <c r="AQ142" s="1" t="s">
        <v>454</v>
      </c>
      <c r="AR142" s="6">
        <v>5</v>
      </c>
      <c r="AS142" s="6" t="s">
        <v>625</v>
      </c>
      <c r="AT142" s="6" t="s">
        <v>364</v>
      </c>
      <c r="AU142" s="6">
        <v>5</v>
      </c>
      <c r="AV142" s="36"/>
      <c r="AW142" s="36"/>
      <c r="AX142" s="36"/>
      <c r="AY142" s="36"/>
      <c r="AZ142" s="36"/>
      <c r="BB142" s="24" t="s">
        <v>880</v>
      </c>
      <c r="BC142" s="24" t="str">
        <f t="shared" si="20"/>
        <v>Not Obese</v>
      </c>
      <c r="BE142" s="1" t="s">
        <v>881</v>
      </c>
    </row>
    <row r="143" spans="1:57" ht="18.75" customHeight="1">
      <c r="A143" s="29" t="s">
        <v>882</v>
      </c>
      <c r="B143" s="8">
        <v>45556</v>
      </c>
      <c r="C143" s="1" t="s">
        <v>84</v>
      </c>
      <c r="D143" s="6">
        <v>18</v>
      </c>
      <c r="G143" s="6" t="s">
        <v>85</v>
      </c>
      <c r="H143" s="33" t="str">
        <f t="shared" si="21"/>
        <v>Yes</v>
      </c>
      <c r="I143" s="33">
        <v>46.6</v>
      </c>
      <c r="J143" s="6">
        <v>38.299999999999997</v>
      </c>
      <c r="K143" s="6">
        <v>8</v>
      </c>
      <c r="L143" s="6">
        <v>1024</v>
      </c>
      <c r="M143" s="6">
        <v>19.399999999999999</v>
      </c>
      <c r="N143" s="6">
        <v>22.8</v>
      </c>
      <c r="O143" s="6">
        <v>14.1</v>
      </c>
      <c r="P143" s="6">
        <v>31.2</v>
      </c>
      <c r="Q143" s="6">
        <v>30.4</v>
      </c>
      <c r="R143" s="6">
        <v>49.3</v>
      </c>
      <c r="S143" s="6">
        <v>27.9</v>
      </c>
      <c r="T143" s="6">
        <v>40.200000000000003</v>
      </c>
      <c r="U143" s="6">
        <v>23.4</v>
      </c>
      <c r="V143" s="6">
        <v>65</v>
      </c>
      <c r="W143" s="6">
        <v>37.299999999999997</v>
      </c>
      <c r="X143" s="6">
        <v>35.9</v>
      </c>
      <c r="Y143" s="56">
        <f t="shared" si="17"/>
        <v>36.599999999999994</v>
      </c>
      <c r="Z143" s="6">
        <v>41.5</v>
      </c>
      <c r="AA143" s="6">
        <v>40.9</v>
      </c>
      <c r="AB143" s="56">
        <f t="shared" si="15"/>
        <v>41.2</v>
      </c>
      <c r="AC143" s="6">
        <v>37.9</v>
      </c>
      <c r="AD143" s="6">
        <v>37.9</v>
      </c>
      <c r="AE143" s="56">
        <f t="shared" si="18"/>
        <v>37.9</v>
      </c>
      <c r="AF143" s="14" t="s">
        <v>654</v>
      </c>
      <c r="AG143" s="14" t="s">
        <v>385</v>
      </c>
      <c r="AH143" s="14" t="s">
        <v>386</v>
      </c>
      <c r="AI143" s="14" t="s">
        <v>883</v>
      </c>
      <c r="AJ143" s="14" t="s">
        <v>375</v>
      </c>
      <c r="AK143" s="14" t="s">
        <v>884</v>
      </c>
      <c r="AM143" s="11" t="s">
        <v>654</v>
      </c>
      <c r="AN143" s="11" t="s">
        <v>884</v>
      </c>
      <c r="AP143" s="1" t="s">
        <v>385</v>
      </c>
      <c r="AQ143" s="1" t="s">
        <v>386</v>
      </c>
      <c r="AR143" s="6">
        <v>5</v>
      </c>
      <c r="AS143" s="6" t="s">
        <v>883</v>
      </c>
      <c r="AT143" s="6" t="s">
        <v>375</v>
      </c>
      <c r="AU143" s="6">
        <v>4</v>
      </c>
      <c r="AV143" s="36"/>
      <c r="AW143" s="36"/>
      <c r="AX143" s="36"/>
      <c r="AY143" s="36"/>
      <c r="AZ143" s="36"/>
      <c r="BC143" s="24" t="str">
        <f t="shared" si="20"/>
        <v>Not Obese</v>
      </c>
      <c r="BE143" s="1" t="s">
        <v>885</v>
      </c>
    </row>
    <row r="144" spans="1:57" ht="18.75" customHeight="1">
      <c r="A144" s="29" t="s">
        <v>886</v>
      </c>
      <c r="B144" s="8">
        <v>45556</v>
      </c>
      <c r="C144" s="1" t="s">
        <v>75</v>
      </c>
      <c r="D144" s="6">
        <v>21</v>
      </c>
      <c r="G144" s="6" t="s">
        <v>85</v>
      </c>
      <c r="H144" s="33" t="str">
        <f t="shared" si="21"/>
        <v>No</v>
      </c>
      <c r="I144" s="33">
        <v>51.1</v>
      </c>
      <c r="J144" s="6">
        <v>25.5</v>
      </c>
      <c r="K144" s="6">
        <v>1.5</v>
      </c>
      <c r="L144" s="6">
        <v>1151</v>
      </c>
      <c r="M144" s="6">
        <v>27.3</v>
      </c>
      <c r="N144" s="6">
        <v>31.2</v>
      </c>
      <c r="O144" s="6">
        <v>22</v>
      </c>
      <c r="P144" s="6">
        <v>38.9</v>
      </c>
      <c r="Q144" s="6">
        <v>20.2</v>
      </c>
      <c r="R144" s="6">
        <v>36</v>
      </c>
      <c r="S144" s="6">
        <v>16.7</v>
      </c>
      <c r="T144" s="6">
        <v>29.4</v>
      </c>
      <c r="U144" s="6">
        <v>18.100000000000001</v>
      </c>
      <c r="V144" s="6">
        <v>37</v>
      </c>
      <c r="W144" s="6">
        <v>36.4</v>
      </c>
      <c r="X144" s="6">
        <v>36.5</v>
      </c>
      <c r="Y144" s="56">
        <f t="shared" si="17"/>
        <v>36.450000000000003</v>
      </c>
      <c r="Z144" s="6">
        <v>46.3</v>
      </c>
      <c r="AA144" s="6">
        <v>47.5</v>
      </c>
      <c r="AB144" s="56">
        <f t="shared" si="15"/>
        <v>46.9</v>
      </c>
      <c r="AC144" s="6">
        <v>46</v>
      </c>
      <c r="AD144" s="6">
        <v>45.6</v>
      </c>
      <c r="AE144" s="56">
        <f t="shared" si="18"/>
        <v>45.8</v>
      </c>
      <c r="AF144" s="14" t="s">
        <v>703</v>
      </c>
      <c r="AG144" s="14" t="s">
        <v>454</v>
      </c>
      <c r="AH144" s="14" t="s">
        <v>137</v>
      </c>
      <c r="AI144" s="14" t="s">
        <v>138</v>
      </c>
      <c r="AJ144" s="14" t="s">
        <v>132</v>
      </c>
      <c r="AK144" s="14" t="s">
        <v>135</v>
      </c>
      <c r="AM144" s="11" t="s">
        <v>703</v>
      </c>
      <c r="AN144" s="11" t="s">
        <v>135</v>
      </c>
      <c r="AP144" s="1" t="s">
        <v>454</v>
      </c>
      <c r="AQ144" s="1" t="s">
        <v>137</v>
      </c>
      <c r="AR144" s="6">
        <v>4</v>
      </c>
      <c r="AS144" s="6" t="s">
        <v>138</v>
      </c>
      <c r="AT144" s="6" t="s">
        <v>132</v>
      </c>
      <c r="AU144" s="6">
        <v>5</v>
      </c>
      <c r="AV144" s="36"/>
      <c r="AW144" s="36"/>
      <c r="AX144" s="36"/>
      <c r="AY144" s="36"/>
      <c r="AZ144" s="36"/>
      <c r="BC144" s="24" t="str">
        <f t="shared" si="20"/>
        <v>Not Obese</v>
      </c>
      <c r="BE144" s="1" t="s">
        <v>887</v>
      </c>
    </row>
    <row r="145" spans="1:63" ht="18.75" customHeight="1">
      <c r="A145" s="29" t="s">
        <v>888</v>
      </c>
      <c r="B145" s="8">
        <v>45565</v>
      </c>
      <c r="C145" s="1" t="s">
        <v>117</v>
      </c>
      <c r="D145" s="6">
        <v>24</v>
      </c>
      <c r="G145" s="6" t="s">
        <v>85</v>
      </c>
      <c r="H145" s="33" t="str">
        <f t="shared" si="21"/>
        <v>Yes</v>
      </c>
      <c r="I145" s="33">
        <v>57.3</v>
      </c>
      <c r="J145" s="6">
        <v>33.9</v>
      </c>
      <c r="K145" s="6">
        <v>4.5</v>
      </c>
      <c r="L145" s="6">
        <v>1212</v>
      </c>
      <c r="M145" s="6">
        <v>23.9</v>
      </c>
      <c r="N145" s="6">
        <v>25.8</v>
      </c>
      <c r="O145" s="6">
        <v>18.5</v>
      </c>
      <c r="P145" s="6">
        <v>35.5</v>
      </c>
      <c r="Q145" s="6">
        <v>26.9</v>
      </c>
      <c r="R145" s="6">
        <v>45.9</v>
      </c>
      <c r="S145" s="6">
        <v>24.1</v>
      </c>
      <c r="T145" s="6">
        <v>38.5</v>
      </c>
      <c r="U145" s="6">
        <v>21.6</v>
      </c>
      <c r="V145" s="6">
        <v>50</v>
      </c>
      <c r="W145" s="6">
        <v>42.1</v>
      </c>
      <c r="X145" s="6">
        <v>39.299999999999997</v>
      </c>
      <c r="Y145" s="56">
        <f t="shared" si="17"/>
        <v>40.700000000000003</v>
      </c>
      <c r="Z145" s="6">
        <v>47.7</v>
      </c>
      <c r="AA145" s="6">
        <v>48</v>
      </c>
      <c r="AB145" s="56">
        <f t="shared" si="15"/>
        <v>47.85</v>
      </c>
      <c r="AC145" s="6">
        <v>41.4</v>
      </c>
      <c r="AD145" s="6">
        <v>42.7</v>
      </c>
      <c r="AE145" s="56">
        <f t="shared" si="18"/>
        <v>42.05</v>
      </c>
      <c r="AF145" s="14" t="s">
        <v>86</v>
      </c>
      <c r="AG145" s="14" t="s">
        <v>222</v>
      </c>
      <c r="AH145" s="14" t="s">
        <v>201</v>
      </c>
      <c r="AI145" s="14" t="s">
        <v>223</v>
      </c>
      <c r="AJ145" s="14" t="s">
        <v>284</v>
      </c>
      <c r="AK145" s="14" t="s">
        <v>339</v>
      </c>
      <c r="AM145" s="11" t="s">
        <v>86</v>
      </c>
      <c r="AN145" s="11" t="s">
        <v>339</v>
      </c>
      <c r="AP145" s="1" t="s">
        <v>222</v>
      </c>
      <c r="AQ145" s="1" t="s">
        <v>201</v>
      </c>
      <c r="AR145" s="6">
        <v>5</v>
      </c>
      <c r="AS145" s="6" t="s">
        <v>223</v>
      </c>
      <c r="AT145" s="6" t="s">
        <v>284</v>
      </c>
      <c r="AU145" s="6">
        <v>5</v>
      </c>
      <c r="AV145" s="36"/>
      <c r="AW145" s="36"/>
      <c r="AX145" s="36"/>
      <c r="AY145" s="36"/>
      <c r="AZ145" s="36"/>
      <c r="BB145" s="24" t="s">
        <v>889</v>
      </c>
      <c r="BC145" s="24" t="str">
        <f t="shared" si="20"/>
        <v>Not Obese</v>
      </c>
      <c r="BE145" s="1" t="s">
        <v>890</v>
      </c>
    </row>
    <row r="146" spans="1:63" ht="18.75" customHeight="1">
      <c r="A146" s="29" t="s">
        <v>891</v>
      </c>
      <c r="B146" s="8">
        <v>45565</v>
      </c>
      <c r="C146" s="1" t="s">
        <v>62</v>
      </c>
      <c r="D146" s="6">
        <v>22</v>
      </c>
      <c r="G146" s="6" t="s">
        <v>85</v>
      </c>
      <c r="H146" s="33" t="str">
        <f t="shared" si="21"/>
        <v>No</v>
      </c>
      <c r="I146" s="33">
        <v>57.8</v>
      </c>
      <c r="J146" s="6">
        <v>30.5</v>
      </c>
      <c r="K146" s="6">
        <v>3</v>
      </c>
      <c r="L146" s="6">
        <v>1237</v>
      </c>
      <c r="M146" s="6">
        <v>25.6</v>
      </c>
      <c r="N146" s="6">
        <v>27.8</v>
      </c>
      <c r="O146" s="6">
        <v>20.100000000000001</v>
      </c>
      <c r="P146" s="6">
        <v>37.700000000000003</v>
      </c>
      <c r="Q146" s="6">
        <v>24.6</v>
      </c>
      <c r="R146" s="6">
        <v>41.9</v>
      </c>
      <c r="S146" s="6">
        <v>21.3</v>
      </c>
      <c r="T146" s="6">
        <v>35.4</v>
      </c>
      <c r="U146" s="6">
        <v>20.7</v>
      </c>
      <c r="V146" s="6">
        <v>44</v>
      </c>
      <c r="W146" s="6">
        <v>39.299999999999997</v>
      </c>
      <c r="X146" s="6">
        <v>38.9</v>
      </c>
      <c r="Y146" s="56">
        <f t="shared" si="17"/>
        <v>39.099999999999994</v>
      </c>
      <c r="Z146" s="6">
        <v>47</v>
      </c>
      <c r="AA146" s="6">
        <v>47</v>
      </c>
      <c r="AB146" s="56">
        <f t="shared" si="15"/>
        <v>47</v>
      </c>
      <c r="AC146" s="6">
        <v>42</v>
      </c>
      <c r="AD146" s="6">
        <v>43.2</v>
      </c>
      <c r="AE146" s="56">
        <f t="shared" si="18"/>
        <v>42.6</v>
      </c>
      <c r="AF146" s="14" t="s">
        <v>435</v>
      </c>
      <c r="AG146" s="14" t="s">
        <v>137</v>
      </c>
      <c r="AH146" s="14" t="s">
        <v>433</v>
      </c>
      <c r="AI146" s="14" t="s">
        <v>132</v>
      </c>
      <c r="AJ146" s="14" t="s">
        <v>749</v>
      </c>
      <c r="AK146" s="14" t="s">
        <v>285</v>
      </c>
      <c r="AM146" s="11" t="s">
        <v>435</v>
      </c>
      <c r="AN146" s="11" t="s">
        <v>285</v>
      </c>
      <c r="AP146" s="1" t="s">
        <v>137</v>
      </c>
      <c r="AQ146" s="1" t="s">
        <v>433</v>
      </c>
      <c r="AR146" s="6">
        <v>5</v>
      </c>
      <c r="AS146" s="6" t="s">
        <v>132</v>
      </c>
      <c r="AT146" s="6" t="s">
        <v>749</v>
      </c>
      <c r="AU146" s="6">
        <v>5</v>
      </c>
      <c r="AV146" s="36"/>
      <c r="AW146" s="36"/>
      <c r="AX146" s="36"/>
      <c r="AY146" s="36"/>
      <c r="AZ146" s="36"/>
      <c r="BB146" s="24" t="s">
        <v>892</v>
      </c>
      <c r="BC146" s="24" t="str">
        <f t="shared" si="20"/>
        <v>Not Obese</v>
      </c>
      <c r="BE146" s="1" t="s">
        <v>893</v>
      </c>
    </row>
    <row r="147" spans="1:63" ht="18.75" customHeight="1">
      <c r="A147" s="29" t="s">
        <v>894</v>
      </c>
      <c r="B147" s="8">
        <v>45565</v>
      </c>
      <c r="C147" s="1" t="s">
        <v>84</v>
      </c>
      <c r="D147" s="6">
        <v>23</v>
      </c>
      <c r="G147" s="6" t="s">
        <v>85</v>
      </c>
      <c r="H147" s="33" t="str">
        <f t="shared" si="21"/>
        <v>No</v>
      </c>
      <c r="I147" s="33">
        <v>41.7</v>
      </c>
      <c r="J147" s="6">
        <v>29</v>
      </c>
      <c r="K147" s="6">
        <v>2.5</v>
      </c>
      <c r="L147" s="6">
        <v>985</v>
      </c>
      <c r="M147" s="6">
        <v>23.9</v>
      </c>
      <c r="N147" s="6">
        <v>29.2</v>
      </c>
      <c r="O147" s="6">
        <v>19.100000000000001</v>
      </c>
      <c r="P147" s="6">
        <v>34.200000000000003</v>
      </c>
      <c r="Q147" s="6">
        <v>22.2</v>
      </c>
      <c r="R147" s="6">
        <v>39.299999999999997</v>
      </c>
      <c r="S147" s="6">
        <v>19.2</v>
      </c>
      <c r="T147" s="6">
        <v>31.2</v>
      </c>
      <c r="U147" s="6">
        <v>18.5</v>
      </c>
      <c r="V147" s="6">
        <v>40</v>
      </c>
      <c r="W147" s="6">
        <v>34.200000000000003</v>
      </c>
      <c r="X147" s="6">
        <v>34.200000000000003</v>
      </c>
      <c r="Y147" s="56">
        <f t="shared" si="17"/>
        <v>34.200000000000003</v>
      </c>
      <c r="Z147" s="6">
        <v>42.4</v>
      </c>
      <c r="AA147" s="6">
        <v>40.4</v>
      </c>
      <c r="AB147" s="56">
        <f t="shared" si="15"/>
        <v>41.4</v>
      </c>
      <c r="AC147" s="6">
        <v>41.2</v>
      </c>
      <c r="AD147" s="6">
        <v>41.4</v>
      </c>
      <c r="AE147" s="56">
        <f t="shared" si="18"/>
        <v>41.3</v>
      </c>
      <c r="AF147" s="14" t="s">
        <v>206</v>
      </c>
      <c r="AG147" s="14" t="s">
        <v>433</v>
      </c>
      <c r="AH147" s="14" t="s">
        <v>93</v>
      </c>
      <c r="AI147" s="14" t="s">
        <v>419</v>
      </c>
      <c r="AJ147" s="14" t="s">
        <v>736</v>
      </c>
      <c r="AK147" s="14" t="s">
        <v>459</v>
      </c>
      <c r="AM147" s="11" t="s">
        <v>91</v>
      </c>
      <c r="AN147" s="11" t="s">
        <v>459</v>
      </c>
      <c r="AP147" s="1" t="s">
        <v>433</v>
      </c>
      <c r="AQ147" s="1" t="s">
        <v>93</v>
      </c>
      <c r="AR147" s="6">
        <v>5</v>
      </c>
      <c r="AS147" s="6" t="s">
        <v>419</v>
      </c>
      <c r="AT147" s="6" t="s">
        <v>736</v>
      </c>
      <c r="AU147" s="6">
        <v>5</v>
      </c>
      <c r="AV147" s="36"/>
      <c r="AW147" s="36"/>
      <c r="AX147" s="36"/>
      <c r="AY147" s="36"/>
      <c r="AZ147" s="36"/>
      <c r="BC147" s="24" t="str">
        <f t="shared" si="20"/>
        <v>Not Obese</v>
      </c>
      <c r="BE147" s="1" t="s">
        <v>895</v>
      </c>
    </row>
    <row r="148" spans="1:63" ht="18.75" customHeight="1">
      <c r="A148" s="29" t="s">
        <v>896</v>
      </c>
      <c r="B148" s="8">
        <v>45565</v>
      </c>
      <c r="C148" s="1" t="s">
        <v>75</v>
      </c>
      <c r="D148" s="54">
        <v>16</v>
      </c>
      <c r="E148" s="54">
        <v>21</v>
      </c>
      <c r="F148" s="54">
        <v>20</v>
      </c>
      <c r="G148" s="6" t="s">
        <v>63</v>
      </c>
      <c r="H148" s="33" t="str">
        <f t="shared" si="21"/>
        <v>No</v>
      </c>
      <c r="I148" s="33">
        <v>59.4</v>
      </c>
      <c r="J148" s="6">
        <v>19.3</v>
      </c>
      <c r="K148" s="6">
        <v>3</v>
      </c>
      <c r="L148" s="6">
        <v>1438</v>
      </c>
      <c r="M148" s="6">
        <v>31.9</v>
      </c>
      <c r="N148" s="6">
        <v>38</v>
      </c>
      <c r="O148" s="6">
        <v>26.2</v>
      </c>
      <c r="P148" s="6">
        <v>49.2</v>
      </c>
      <c r="Q148" s="6">
        <v>12.7</v>
      </c>
      <c r="R148" s="6">
        <v>16.899999999999999</v>
      </c>
      <c r="S148" s="6">
        <v>10.7</v>
      </c>
      <c r="T148" s="6">
        <v>16.600000000000001</v>
      </c>
      <c r="U148" s="6">
        <v>18.3</v>
      </c>
      <c r="V148" s="6">
        <v>40</v>
      </c>
      <c r="W148" s="6">
        <v>40.299999999999997</v>
      </c>
      <c r="X148" s="6">
        <v>38.1</v>
      </c>
      <c r="Y148" s="56">
        <f t="shared" si="17"/>
        <v>39.200000000000003</v>
      </c>
      <c r="Z148" s="6">
        <v>47.7</v>
      </c>
      <c r="AA148" s="6">
        <v>47.7</v>
      </c>
      <c r="AB148" s="56">
        <f t="shared" si="15"/>
        <v>47.7</v>
      </c>
      <c r="AC148" s="6">
        <v>50.2</v>
      </c>
      <c r="AD148" s="6">
        <v>49.7</v>
      </c>
      <c r="AE148" s="56">
        <f t="shared" si="18"/>
        <v>49.95</v>
      </c>
      <c r="AF148" s="14" t="s">
        <v>645</v>
      </c>
      <c r="AG148" s="14" t="s">
        <v>289</v>
      </c>
      <c r="AH148" s="14" t="s">
        <v>639</v>
      </c>
      <c r="AI148" s="14" t="s">
        <v>897</v>
      </c>
      <c r="AJ148" s="14" t="s">
        <v>883</v>
      </c>
      <c r="AK148" s="14" t="s">
        <v>649</v>
      </c>
      <c r="AM148" s="11" t="s">
        <v>645</v>
      </c>
      <c r="AN148" s="11" t="s">
        <v>649</v>
      </c>
      <c r="AP148" s="1" t="s">
        <v>289</v>
      </c>
      <c r="AQ148" s="1" t="s">
        <v>639</v>
      </c>
      <c r="AR148" s="6">
        <v>5</v>
      </c>
      <c r="AS148" s="6" t="s">
        <v>897</v>
      </c>
      <c r="AT148" s="6" t="s">
        <v>883</v>
      </c>
      <c r="AU148" s="6">
        <v>5</v>
      </c>
      <c r="AV148" s="36"/>
      <c r="AW148" s="36"/>
      <c r="AX148" s="36"/>
      <c r="AY148" s="36"/>
      <c r="AZ148" s="36"/>
      <c r="BB148" s="24" t="s">
        <v>898</v>
      </c>
      <c r="BC148" s="24" t="str">
        <f t="shared" si="20"/>
        <v>Not Obese</v>
      </c>
      <c r="BE148" s="1" t="s">
        <v>899</v>
      </c>
    </row>
    <row r="149" spans="1:63" ht="18.75" customHeight="1">
      <c r="A149" s="29" t="s">
        <v>900</v>
      </c>
      <c r="B149" s="8">
        <v>45566</v>
      </c>
      <c r="C149" s="1" t="s">
        <v>117</v>
      </c>
      <c r="D149" s="6">
        <v>32</v>
      </c>
      <c r="G149" s="6" t="s">
        <v>85</v>
      </c>
      <c r="H149" s="33" t="str">
        <f t="shared" si="21"/>
        <v>No</v>
      </c>
      <c r="I149" s="33">
        <v>46.2</v>
      </c>
      <c r="J149" s="6">
        <v>27.4</v>
      </c>
      <c r="K149" s="6">
        <v>2.5</v>
      </c>
      <c r="L149" s="6">
        <v>1062</v>
      </c>
      <c r="M149" s="6">
        <v>25.2</v>
      </c>
      <c r="N149" s="6">
        <v>29.8</v>
      </c>
      <c r="O149" s="6">
        <v>19.8</v>
      </c>
      <c r="P149" s="6">
        <v>36.9</v>
      </c>
      <c r="Q149" s="6">
        <v>21.6</v>
      </c>
      <c r="R149" s="6">
        <v>36.9</v>
      </c>
      <c r="S149" s="6">
        <v>18.2</v>
      </c>
      <c r="T149" s="6">
        <v>29.1</v>
      </c>
      <c r="U149" s="6">
        <v>18.7</v>
      </c>
      <c r="V149" s="6">
        <v>49</v>
      </c>
      <c r="W149" s="6">
        <v>37.6</v>
      </c>
      <c r="X149" s="6">
        <v>38.4</v>
      </c>
      <c r="Y149" s="56">
        <f t="shared" si="17"/>
        <v>38</v>
      </c>
      <c r="Z149" s="6">
        <v>45.1</v>
      </c>
      <c r="AA149" s="6">
        <v>44.5</v>
      </c>
      <c r="AB149" s="56">
        <f t="shared" si="15"/>
        <v>44.8</v>
      </c>
      <c r="AC149" s="6">
        <v>42.6</v>
      </c>
      <c r="AD149" s="6">
        <v>42.4</v>
      </c>
      <c r="AE149" s="56">
        <f t="shared" si="18"/>
        <v>42.5</v>
      </c>
      <c r="AF149" s="14" t="s">
        <v>330</v>
      </c>
      <c r="AG149" s="14" t="s">
        <v>189</v>
      </c>
      <c r="AH149" s="14" t="s">
        <v>397</v>
      </c>
      <c r="AI149" s="14" t="s">
        <v>398</v>
      </c>
      <c r="AJ149" s="14" t="s">
        <v>328</v>
      </c>
      <c r="AK149" s="14" t="s">
        <v>194</v>
      </c>
      <c r="AM149" s="11" t="s">
        <v>330</v>
      </c>
      <c r="AN149" s="11" t="s">
        <v>194</v>
      </c>
      <c r="AP149" s="1" t="s">
        <v>189</v>
      </c>
      <c r="AQ149" s="1" t="s">
        <v>190</v>
      </c>
      <c r="AR149" s="6">
        <v>5</v>
      </c>
      <c r="AS149" s="6" t="s">
        <v>316</v>
      </c>
      <c r="AT149" s="6" t="s">
        <v>214</v>
      </c>
      <c r="AU149" s="6">
        <v>5</v>
      </c>
      <c r="AV149" s="36"/>
      <c r="AW149" s="36"/>
      <c r="AX149" s="36"/>
      <c r="AY149" s="36"/>
      <c r="AZ149" s="36"/>
      <c r="BB149" s="24" t="s">
        <v>901</v>
      </c>
      <c r="BC149" s="24" t="str">
        <f t="shared" si="20"/>
        <v>Not Obese</v>
      </c>
      <c r="BE149" s="1" t="s">
        <v>902</v>
      </c>
    </row>
    <row r="150" spans="1:63" ht="18.75" customHeight="1">
      <c r="A150" s="29" t="s">
        <v>903</v>
      </c>
      <c r="B150" s="8">
        <v>45566</v>
      </c>
      <c r="C150" s="1" t="s">
        <v>62</v>
      </c>
      <c r="D150" s="54">
        <v>32</v>
      </c>
      <c r="E150" s="54">
        <v>37</v>
      </c>
      <c r="F150" s="54">
        <v>36</v>
      </c>
      <c r="G150" s="6" t="s">
        <v>63</v>
      </c>
      <c r="H150" s="33" t="str">
        <f t="shared" si="21"/>
        <v>Yes</v>
      </c>
      <c r="I150" s="33">
        <v>104</v>
      </c>
      <c r="J150" s="6">
        <v>31.9</v>
      </c>
      <c r="K150" s="6">
        <v>19</v>
      </c>
      <c r="L150" s="6">
        <v>2093</v>
      </c>
      <c r="M150" s="6">
        <v>29.1</v>
      </c>
      <c r="N150" s="6">
        <v>33.9</v>
      </c>
      <c r="O150" s="6">
        <v>20.5</v>
      </c>
      <c r="P150" s="6">
        <v>46.6</v>
      </c>
      <c r="Q150" s="6">
        <v>22.8</v>
      </c>
      <c r="R150" s="6">
        <v>29.5</v>
      </c>
      <c r="S150" s="6">
        <v>21.2</v>
      </c>
      <c r="T150" s="6">
        <v>30.1</v>
      </c>
      <c r="U150" s="6">
        <v>32.1</v>
      </c>
      <c r="V150" s="6">
        <v>62</v>
      </c>
      <c r="W150" s="6">
        <v>43.5</v>
      </c>
      <c r="X150" s="6">
        <v>43.9</v>
      </c>
      <c r="Y150" s="56">
        <f t="shared" si="17"/>
        <v>43.7</v>
      </c>
      <c r="Z150" s="6">
        <v>50.8</v>
      </c>
      <c r="AA150" s="6">
        <v>50.5</v>
      </c>
      <c r="AB150" s="56">
        <f t="shared" si="15"/>
        <v>50.65</v>
      </c>
      <c r="AC150" s="6">
        <v>48.5</v>
      </c>
      <c r="AD150" s="6">
        <v>48.5</v>
      </c>
      <c r="AE150" s="56">
        <f t="shared" si="18"/>
        <v>48.5</v>
      </c>
      <c r="AF150" s="14" t="s">
        <v>155</v>
      </c>
      <c r="AG150" s="14" t="s">
        <v>904</v>
      </c>
      <c r="AH150" s="14" t="s">
        <v>905</v>
      </c>
      <c r="AI150" s="14" t="s">
        <v>607</v>
      </c>
      <c r="AJ150" s="14" t="s">
        <v>906</v>
      </c>
      <c r="AK150" s="14" t="s">
        <v>907</v>
      </c>
      <c r="AM150" s="11" t="s">
        <v>155</v>
      </c>
      <c r="AN150" s="11" t="s">
        <v>907</v>
      </c>
      <c r="AP150" s="1" t="s">
        <v>904</v>
      </c>
      <c r="AQ150" s="1" t="s">
        <v>905</v>
      </c>
      <c r="AR150" s="6">
        <v>7</v>
      </c>
      <c r="AS150" s="6" t="s">
        <v>908</v>
      </c>
      <c r="AT150" s="6" t="s">
        <v>906</v>
      </c>
      <c r="AU150" s="6">
        <v>6.5</v>
      </c>
      <c r="AV150" s="36"/>
      <c r="AW150" s="36"/>
      <c r="AX150" s="36"/>
      <c r="AY150" s="36"/>
      <c r="AZ150" s="36"/>
      <c r="BB150" s="24" t="s">
        <v>909</v>
      </c>
      <c r="BC150" s="24" t="str">
        <f t="shared" si="20"/>
        <v>Obese</v>
      </c>
      <c r="BE150" s="1" t="s">
        <v>910</v>
      </c>
    </row>
    <row r="151" spans="1:63" ht="18.75" customHeight="1">
      <c r="A151" s="29" t="s">
        <v>911</v>
      </c>
      <c r="B151" s="8">
        <v>45566</v>
      </c>
      <c r="C151" s="1" t="s">
        <v>84</v>
      </c>
      <c r="D151" s="54">
        <v>31</v>
      </c>
      <c r="E151" s="54">
        <v>38</v>
      </c>
      <c r="F151" s="54">
        <v>37</v>
      </c>
      <c r="G151" s="6" t="s">
        <v>63</v>
      </c>
      <c r="H151" s="33" t="str">
        <f t="shared" si="21"/>
        <v>No</v>
      </c>
      <c r="I151" s="33">
        <v>77.2</v>
      </c>
      <c r="J151" s="6">
        <v>23.6</v>
      </c>
      <c r="K151" s="6">
        <v>12</v>
      </c>
      <c r="L151" s="6">
        <v>1715</v>
      </c>
      <c r="M151" s="6">
        <v>31.6</v>
      </c>
      <c r="N151" s="6">
        <v>36.299999999999997</v>
      </c>
      <c r="O151" s="6">
        <v>24.8</v>
      </c>
      <c r="P151" s="6">
        <v>48.9</v>
      </c>
      <c r="Q151" s="6">
        <v>16.600000000000001</v>
      </c>
      <c r="R151" s="6">
        <v>20.8</v>
      </c>
      <c r="S151" s="6">
        <v>15</v>
      </c>
      <c r="T151" s="6">
        <v>20.9</v>
      </c>
      <c r="U151" s="6">
        <v>25.8</v>
      </c>
      <c r="V151" s="6">
        <v>52</v>
      </c>
      <c r="W151" s="6">
        <v>39.4</v>
      </c>
      <c r="X151" s="6">
        <v>40.1</v>
      </c>
      <c r="Y151" s="56">
        <f t="shared" si="17"/>
        <v>39.75</v>
      </c>
      <c r="Z151" s="6">
        <v>46.9</v>
      </c>
      <c r="AA151" s="6">
        <v>46.6</v>
      </c>
      <c r="AB151" s="56">
        <f t="shared" si="15"/>
        <v>46.75</v>
      </c>
      <c r="AC151" s="6">
        <v>44</v>
      </c>
      <c r="AD151" s="6">
        <v>48.2</v>
      </c>
      <c r="AE151" s="56">
        <f t="shared" si="18"/>
        <v>46.1</v>
      </c>
      <c r="AF151" s="14" t="s">
        <v>415</v>
      </c>
      <c r="AG151" s="14" t="s">
        <v>624</v>
      </c>
      <c r="AH151" s="14" t="s">
        <v>308</v>
      </c>
      <c r="AI151" s="14" t="s">
        <v>580</v>
      </c>
      <c r="AJ151" s="14" t="s">
        <v>132</v>
      </c>
      <c r="AK151" s="14" t="s">
        <v>135</v>
      </c>
      <c r="AM151" s="11" t="s">
        <v>415</v>
      </c>
      <c r="AN151" s="11" t="s">
        <v>135</v>
      </c>
      <c r="AP151" s="1" t="s">
        <v>624</v>
      </c>
      <c r="AQ151" s="1" t="s">
        <v>308</v>
      </c>
      <c r="AR151" s="6">
        <v>5.5</v>
      </c>
      <c r="AS151" s="6" t="s">
        <v>131</v>
      </c>
      <c r="AT151" s="6" t="s">
        <v>132</v>
      </c>
      <c r="AU151" s="6">
        <v>6</v>
      </c>
      <c r="AV151" s="36"/>
      <c r="AW151" s="36"/>
      <c r="AX151" s="36"/>
      <c r="AY151" s="36"/>
      <c r="AZ151" s="36"/>
      <c r="BA151" s="36"/>
      <c r="BB151" s="24" t="s">
        <v>912</v>
      </c>
      <c r="BC151" s="24" t="str">
        <f t="shared" si="20"/>
        <v>Not Obese</v>
      </c>
      <c r="BE151" s="1" t="s">
        <v>913</v>
      </c>
    </row>
    <row r="152" spans="1:63" ht="18.75" customHeight="1">
      <c r="A152" s="29" t="s">
        <v>914</v>
      </c>
      <c r="B152" s="8">
        <v>45566</v>
      </c>
      <c r="C152" s="1" t="s">
        <v>75</v>
      </c>
      <c r="D152" s="148">
        <v>24</v>
      </c>
      <c r="E152" s="148"/>
      <c r="F152" s="148"/>
      <c r="G152" s="6" t="s">
        <v>85</v>
      </c>
      <c r="H152" s="33" t="str">
        <f t="shared" si="21"/>
        <v>No</v>
      </c>
      <c r="I152" s="33">
        <v>54.7</v>
      </c>
      <c r="J152" s="6">
        <v>28.7</v>
      </c>
      <c r="K152" s="6">
        <v>4.5</v>
      </c>
      <c r="L152" s="6">
        <v>1195</v>
      </c>
      <c r="M152" s="6">
        <v>26</v>
      </c>
      <c r="N152" s="6">
        <v>28.9</v>
      </c>
      <c r="O152" s="6">
        <v>20.2</v>
      </c>
      <c r="P152" s="6">
        <v>38.5</v>
      </c>
      <c r="Q152" s="6">
        <v>24.4</v>
      </c>
      <c r="R152" s="6">
        <v>38.9</v>
      </c>
      <c r="S152" s="6">
        <v>20.5</v>
      </c>
      <c r="T152" s="6">
        <v>32.799999999999997</v>
      </c>
      <c r="U152" s="6">
        <v>21.6</v>
      </c>
      <c r="V152" s="6">
        <v>48</v>
      </c>
      <c r="W152" s="6">
        <v>37.1</v>
      </c>
      <c r="X152" s="6">
        <v>37.4</v>
      </c>
      <c r="Y152" s="56">
        <f t="shared" si="17"/>
        <v>37.25</v>
      </c>
      <c r="Z152" s="6">
        <v>43.2</v>
      </c>
      <c r="AA152" s="6">
        <v>43.4</v>
      </c>
      <c r="AB152" s="56">
        <f t="shared" si="15"/>
        <v>43.3</v>
      </c>
      <c r="AC152" s="6">
        <v>42.7</v>
      </c>
      <c r="AD152" s="6">
        <v>41.1</v>
      </c>
      <c r="AE152" s="56">
        <f t="shared" si="18"/>
        <v>41.900000000000006</v>
      </c>
      <c r="AF152" s="14" t="s">
        <v>86</v>
      </c>
      <c r="AG152" s="14" t="s">
        <v>222</v>
      </c>
      <c r="AH152" s="14" t="s">
        <v>201</v>
      </c>
      <c r="AI152" s="14" t="s">
        <v>223</v>
      </c>
      <c r="AJ152" s="14" t="s">
        <v>284</v>
      </c>
      <c r="AK152" s="14" t="s">
        <v>434</v>
      </c>
      <c r="AM152" s="11" t="s">
        <v>86</v>
      </c>
      <c r="AN152" s="11" t="s">
        <v>434</v>
      </c>
      <c r="AP152" s="1" t="s">
        <v>359</v>
      </c>
      <c r="AQ152" s="1" t="s">
        <v>360</v>
      </c>
      <c r="AR152" s="6">
        <v>5</v>
      </c>
      <c r="AS152" s="6" t="s">
        <v>223</v>
      </c>
      <c r="AT152" s="6" t="s">
        <v>284</v>
      </c>
      <c r="AU152" s="6">
        <v>5</v>
      </c>
      <c r="AV152" s="36"/>
      <c r="AW152" s="36"/>
      <c r="AX152" s="36"/>
      <c r="AY152" s="36"/>
      <c r="AZ152" s="36"/>
      <c r="BC152" s="24" t="str">
        <f t="shared" si="20"/>
        <v>Not Obese</v>
      </c>
      <c r="BE152" s="1" t="s">
        <v>915</v>
      </c>
    </row>
    <row r="153" spans="1:63" ht="18.75" customHeight="1">
      <c r="A153" s="29" t="s">
        <v>916</v>
      </c>
      <c r="B153" s="8">
        <v>45570</v>
      </c>
      <c r="C153" s="1" t="s">
        <v>117</v>
      </c>
      <c r="D153" s="6">
        <v>16</v>
      </c>
      <c r="G153" s="6" t="s">
        <v>63</v>
      </c>
      <c r="H153" s="33" t="str">
        <f>IF(OR(AND(G153="Male",J153&gt;=25),AND(G153="Female",J153&gt;=32)),"Yes","No")</f>
        <v>Yes</v>
      </c>
      <c r="I153" s="33">
        <v>68.599999999999994</v>
      </c>
      <c r="J153" s="6">
        <v>31.4</v>
      </c>
      <c r="K153" s="6">
        <v>13.5</v>
      </c>
      <c r="L153" s="6">
        <v>1522</v>
      </c>
      <c r="M153" s="6">
        <v>26.2</v>
      </c>
      <c r="N153" s="6">
        <v>33.6</v>
      </c>
      <c r="O153" s="6">
        <v>18.399999999999999</v>
      </c>
      <c r="P153" s="6">
        <v>43.7</v>
      </c>
      <c r="Q153" s="6">
        <v>21.4</v>
      </c>
      <c r="R153" s="6">
        <v>28</v>
      </c>
      <c r="S153" s="6">
        <v>19.100000000000001</v>
      </c>
      <c r="T153" s="6">
        <v>28.7</v>
      </c>
      <c r="U153" s="6">
        <v>24.9</v>
      </c>
      <c r="V153" s="6">
        <v>64</v>
      </c>
      <c r="W153" s="6">
        <v>38.700000000000003</v>
      </c>
      <c r="X153" s="6">
        <v>37.799999999999997</v>
      </c>
      <c r="Y153" s="56">
        <f>AVERAGE(W153,X153)</f>
        <v>38.25</v>
      </c>
      <c r="Z153" s="6">
        <v>46.9</v>
      </c>
      <c r="AA153" s="6">
        <v>46.8</v>
      </c>
      <c r="AB153" s="56">
        <f>AVERAGE(Z153,AA153)</f>
        <v>46.849999999999994</v>
      </c>
      <c r="AC153" s="6">
        <v>46.4</v>
      </c>
      <c r="AD153" s="6">
        <v>46.7</v>
      </c>
      <c r="AE153" s="56">
        <f>AVERAGE(AC153,AD153)</f>
        <v>46.55</v>
      </c>
      <c r="AF153" s="14" t="s">
        <v>435</v>
      </c>
      <c r="AG153" s="14" t="s">
        <v>137</v>
      </c>
      <c r="AH153" s="14" t="s">
        <v>433</v>
      </c>
      <c r="AI153" s="14" t="s">
        <v>132</v>
      </c>
      <c r="AJ153" s="14" t="s">
        <v>749</v>
      </c>
      <c r="AK153" s="14" t="s">
        <v>463</v>
      </c>
      <c r="AL153" s="20" t="s">
        <v>917</v>
      </c>
      <c r="AM153" s="11" t="s">
        <v>435</v>
      </c>
      <c r="AN153" s="11" t="s">
        <v>463</v>
      </c>
      <c r="AO153" s="29" t="s">
        <v>769</v>
      </c>
      <c r="AP153" s="1" t="s">
        <v>137</v>
      </c>
      <c r="AQ153" s="1" t="s">
        <v>433</v>
      </c>
      <c r="AR153" s="6">
        <v>5</v>
      </c>
      <c r="AS153" s="6" t="s">
        <v>132</v>
      </c>
      <c r="AT153" s="6" t="s">
        <v>749</v>
      </c>
      <c r="AU153" s="6">
        <v>5</v>
      </c>
      <c r="AV153" s="36"/>
      <c r="AW153" s="36"/>
      <c r="AX153" s="36"/>
      <c r="AY153" s="36"/>
      <c r="AZ153" s="36"/>
      <c r="BB153" s="24" t="s">
        <v>918</v>
      </c>
      <c r="BC153" s="24" t="str">
        <f>IF(AND(G153="Male", J153&gt;25, U153&gt;24.9), "Obese", IF(AND(G153="Female", J153&gt;32, U153&gt;24.9), "Obese", "Not Obese"))</f>
        <v>Not Obese</v>
      </c>
      <c r="BE153" s="1" t="s">
        <v>919</v>
      </c>
    </row>
    <row r="154" spans="1:63" ht="18.75" customHeight="1">
      <c r="A154" s="29" t="s">
        <v>920</v>
      </c>
      <c r="B154" s="8">
        <v>45570</v>
      </c>
      <c r="C154" s="1" t="s">
        <v>62</v>
      </c>
      <c r="D154" s="148">
        <v>27</v>
      </c>
      <c r="E154" s="148"/>
      <c r="F154" s="148"/>
      <c r="G154" s="6" t="s">
        <v>85</v>
      </c>
      <c r="H154" s="33" t="str">
        <f t="shared" si="21"/>
        <v>Yes</v>
      </c>
      <c r="I154" s="33">
        <v>66.599999999999994</v>
      </c>
      <c r="J154" s="6">
        <v>32.5</v>
      </c>
      <c r="K154" s="6">
        <v>5</v>
      </c>
      <c r="L154" s="6">
        <v>1365</v>
      </c>
      <c r="M154" s="6">
        <v>25.3</v>
      </c>
      <c r="N154" s="6">
        <v>25.5</v>
      </c>
      <c r="O154" s="6">
        <v>19.2</v>
      </c>
      <c r="P154" s="6">
        <v>37.700000000000003</v>
      </c>
      <c r="Q154" s="6">
        <v>27.3</v>
      </c>
      <c r="R154" s="6">
        <v>44.2</v>
      </c>
      <c r="S154" s="6">
        <v>23.8</v>
      </c>
      <c r="T154" s="6">
        <v>38.299999999999997</v>
      </c>
      <c r="U154" s="6">
        <v>23</v>
      </c>
      <c r="V154" s="6">
        <v>50</v>
      </c>
      <c r="W154" s="6">
        <v>40.700000000000003</v>
      </c>
      <c r="X154" s="6">
        <v>40</v>
      </c>
      <c r="Y154" s="56">
        <f t="shared" si="17"/>
        <v>40.35</v>
      </c>
      <c r="Z154" s="6">
        <v>50.5</v>
      </c>
      <c r="AA154" s="6">
        <v>50.6</v>
      </c>
      <c r="AB154" s="56">
        <f t="shared" ref="AB154:AB172" si="22">AVERAGE(Z154,AA154)</f>
        <v>50.55</v>
      </c>
      <c r="AC154" s="6">
        <v>45.5</v>
      </c>
      <c r="AD154" s="6">
        <v>45.7</v>
      </c>
      <c r="AE154" s="56">
        <f t="shared" si="18"/>
        <v>45.6</v>
      </c>
      <c r="AF154" s="14" t="s">
        <v>337</v>
      </c>
      <c r="AG154" s="14" t="s">
        <v>322</v>
      </c>
      <c r="AH154" s="14" t="s">
        <v>338</v>
      </c>
      <c r="AI154" s="14" t="s">
        <v>324</v>
      </c>
      <c r="AJ154" s="14" t="s">
        <v>419</v>
      </c>
      <c r="AK154" s="14" t="s">
        <v>340</v>
      </c>
      <c r="AM154" s="11" t="s">
        <v>337</v>
      </c>
      <c r="AN154" s="11" t="s">
        <v>340</v>
      </c>
      <c r="AP154" s="1" t="s">
        <v>322</v>
      </c>
      <c r="AQ154" s="1" t="s">
        <v>338</v>
      </c>
      <c r="AR154" s="6">
        <v>5</v>
      </c>
      <c r="AS154" s="6" t="s">
        <v>324</v>
      </c>
      <c r="AT154" s="6" t="s">
        <v>419</v>
      </c>
      <c r="AU154" s="6">
        <v>5</v>
      </c>
      <c r="AV154" s="36"/>
      <c r="AW154" s="36"/>
      <c r="AX154" s="36"/>
      <c r="AY154" s="36"/>
      <c r="AZ154" s="36"/>
      <c r="BB154" s="24" t="s">
        <v>921</v>
      </c>
      <c r="BC154" s="24" t="str">
        <f t="shared" si="20"/>
        <v>Not Obese</v>
      </c>
      <c r="BE154" s="1" t="s">
        <v>922</v>
      </c>
    </row>
    <row r="155" spans="1:63" ht="18.75" customHeight="1">
      <c r="A155" s="29" t="s">
        <v>923</v>
      </c>
      <c r="B155" s="8">
        <v>45570</v>
      </c>
      <c r="C155" s="1" t="s">
        <v>84</v>
      </c>
      <c r="D155" s="6">
        <v>20</v>
      </c>
      <c r="G155" s="6" t="s">
        <v>85</v>
      </c>
      <c r="H155" s="33" t="str">
        <f t="shared" si="21"/>
        <v>Yes</v>
      </c>
      <c r="I155" s="33">
        <v>77.5</v>
      </c>
      <c r="J155" s="6">
        <v>39.1</v>
      </c>
      <c r="K155" s="6">
        <v>13.5</v>
      </c>
      <c r="L155" s="6">
        <v>1493</v>
      </c>
      <c r="M155" s="6">
        <v>22.4</v>
      </c>
      <c r="N155" s="6">
        <v>19.8</v>
      </c>
      <c r="O155" s="6">
        <v>15.7</v>
      </c>
      <c r="P155" s="6">
        <v>36.4</v>
      </c>
      <c r="Q155" s="6">
        <v>36.4</v>
      </c>
      <c r="R155" s="6">
        <v>51.7</v>
      </c>
      <c r="S155" s="6">
        <v>32.1</v>
      </c>
      <c r="T155" s="6">
        <v>48.5</v>
      </c>
      <c r="U155" s="6">
        <v>31</v>
      </c>
      <c r="V155" s="6">
        <v>64</v>
      </c>
      <c r="W155" s="6">
        <v>44.5</v>
      </c>
      <c r="X155" s="6">
        <v>44.9</v>
      </c>
      <c r="Y155" s="56">
        <f t="shared" si="17"/>
        <v>44.7</v>
      </c>
      <c r="Z155" s="6">
        <v>48.7</v>
      </c>
      <c r="AA155" s="6">
        <v>49</v>
      </c>
      <c r="AB155" s="56">
        <f t="shared" si="22"/>
        <v>48.85</v>
      </c>
      <c r="AC155" s="6">
        <v>43.8</v>
      </c>
      <c r="AD155" s="6">
        <v>42.1</v>
      </c>
      <c r="AE155" s="56">
        <f t="shared" si="18"/>
        <v>42.95</v>
      </c>
      <c r="AF155" s="14" t="s">
        <v>666</v>
      </c>
      <c r="AG155" s="14" t="s">
        <v>348</v>
      </c>
      <c r="AH155" s="14" t="s">
        <v>408</v>
      </c>
      <c r="AI155" s="14" t="s">
        <v>174</v>
      </c>
      <c r="AJ155" s="14" t="s">
        <v>398</v>
      </c>
      <c r="AK155" s="14" t="s">
        <v>924</v>
      </c>
      <c r="AL155" s="20" t="s">
        <v>925</v>
      </c>
      <c r="AM155" s="11" t="s">
        <v>666</v>
      </c>
      <c r="AN155" s="11" t="s">
        <v>924</v>
      </c>
      <c r="AP155" s="1" t="s">
        <v>348</v>
      </c>
      <c r="AQ155" s="1" t="s">
        <v>408</v>
      </c>
      <c r="AR155" s="6">
        <v>5</v>
      </c>
      <c r="AS155" s="6" t="s">
        <v>174</v>
      </c>
      <c r="AT155" s="6" t="s">
        <v>398</v>
      </c>
      <c r="AU155" s="6">
        <v>5</v>
      </c>
      <c r="AV155" s="36"/>
      <c r="AW155" s="36"/>
      <c r="AX155" s="36"/>
      <c r="AY155" s="36"/>
      <c r="AZ155" s="36"/>
      <c r="BA155" s="36"/>
      <c r="BB155" s="24" t="s">
        <v>926</v>
      </c>
      <c r="BC155" s="24" t="str">
        <f t="shared" si="20"/>
        <v>Obese</v>
      </c>
      <c r="BE155" s="1" t="s">
        <v>927</v>
      </c>
    </row>
    <row r="156" spans="1:63" ht="18.75" customHeight="1">
      <c r="A156" s="29" t="s">
        <v>928</v>
      </c>
      <c r="B156" s="8">
        <v>45570</v>
      </c>
      <c r="C156" s="1" t="s">
        <v>75</v>
      </c>
      <c r="D156" s="6">
        <v>29</v>
      </c>
      <c r="G156" s="6" t="s">
        <v>85</v>
      </c>
      <c r="H156" s="33" t="str">
        <f t="shared" si="21"/>
        <v>No</v>
      </c>
      <c r="I156" s="33">
        <v>54.2</v>
      </c>
      <c r="J156" s="6">
        <v>25</v>
      </c>
      <c r="K156" s="6">
        <v>3</v>
      </c>
      <c r="L156" s="6">
        <v>1204</v>
      </c>
      <c r="M156" s="6">
        <v>28</v>
      </c>
      <c r="N156" s="6">
        <v>31.3</v>
      </c>
      <c r="O156" s="6">
        <v>22.2</v>
      </c>
      <c r="P156" s="6">
        <v>40.299999999999997</v>
      </c>
      <c r="Q156" s="6">
        <v>21.5</v>
      </c>
      <c r="R156" s="6">
        <v>34.9</v>
      </c>
      <c r="S156" s="6">
        <v>17.3</v>
      </c>
      <c r="T156" s="6">
        <v>29.6</v>
      </c>
      <c r="U156" s="6">
        <v>20.2</v>
      </c>
      <c r="V156" s="6">
        <v>41</v>
      </c>
      <c r="W156" s="6">
        <v>38.799999999999997</v>
      </c>
      <c r="X156" s="6">
        <v>39.4</v>
      </c>
      <c r="Y156" s="56">
        <f t="shared" si="17"/>
        <v>39.099999999999994</v>
      </c>
      <c r="Z156" s="6">
        <v>47.9</v>
      </c>
      <c r="AA156" s="6">
        <v>48.1</v>
      </c>
      <c r="AB156" s="56">
        <f t="shared" si="22"/>
        <v>48</v>
      </c>
      <c r="AC156" s="6">
        <v>44.6</v>
      </c>
      <c r="AD156" s="6">
        <v>44</v>
      </c>
      <c r="AE156" s="56">
        <f t="shared" si="18"/>
        <v>44.3</v>
      </c>
      <c r="AF156" s="14" t="s">
        <v>806</v>
      </c>
      <c r="AG156" s="14" t="s">
        <v>380</v>
      </c>
      <c r="AH156" s="14" t="s">
        <v>189</v>
      </c>
      <c r="AI156" s="14" t="s">
        <v>641</v>
      </c>
      <c r="AJ156" s="14" t="s">
        <v>398</v>
      </c>
      <c r="AK156" s="14" t="s">
        <v>924</v>
      </c>
      <c r="AL156" s="20" t="s">
        <v>929</v>
      </c>
      <c r="AM156" s="11" t="s">
        <v>666</v>
      </c>
      <c r="AN156" s="11" t="s">
        <v>924</v>
      </c>
      <c r="AP156" s="1" t="s">
        <v>380</v>
      </c>
      <c r="AQ156" s="1" t="s">
        <v>189</v>
      </c>
      <c r="AR156" s="6">
        <v>5</v>
      </c>
      <c r="AS156" s="6" t="s">
        <v>641</v>
      </c>
      <c r="AT156" s="6" t="s">
        <v>398</v>
      </c>
      <c r="AU156" s="6">
        <v>6</v>
      </c>
      <c r="AV156" s="36"/>
      <c r="AW156" s="36"/>
      <c r="AX156" s="36"/>
      <c r="AY156" s="36"/>
      <c r="AZ156" s="36"/>
      <c r="BB156" s="24" t="s">
        <v>930</v>
      </c>
      <c r="BC156" s="24" t="str">
        <f t="shared" si="20"/>
        <v>Not Obese</v>
      </c>
      <c r="BE156" s="1" t="s">
        <v>931</v>
      </c>
    </row>
    <row r="157" spans="1:63" ht="18.75" customHeight="1">
      <c r="A157" s="29" t="s">
        <v>932</v>
      </c>
      <c r="B157" s="8">
        <v>45572</v>
      </c>
      <c r="C157" s="1" t="s">
        <v>117</v>
      </c>
      <c r="D157" s="6">
        <v>25</v>
      </c>
      <c r="G157" s="6" t="s">
        <v>85</v>
      </c>
      <c r="H157" s="33" t="str">
        <f t="shared" si="21"/>
        <v>Yes</v>
      </c>
      <c r="I157" s="33">
        <v>50.9</v>
      </c>
      <c r="J157" s="6">
        <v>32.799999999999997</v>
      </c>
      <c r="K157" s="6">
        <v>5.5</v>
      </c>
      <c r="L157" s="6">
        <v>1114</v>
      </c>
      <c r="M157" s="6">
        <v>23</v>
      </c>
      <c r="N157" s="6">
        <v>26.2</v>
      </c>
      <c r="O157" s="6">
        <v>17.399999999999999</v>
      </c>
      <c r="P157" s="6">
        <v>35.799999999999997</v>
      </c>
      <c r="Q157" s="6">
        <v>26.9</v>
      </c>
      <c r="R157" s="6">
        <v>42.8</v>
      </c>
      <c r="S157" s="6">
        <v>23.6</v>
      </c>
      <c r="T157" s="6">
        <v>35.1</v>
      </c>
      <c r="U157" s="6">
        <v>22.3</v>
      </c>
      <c r="V157" s="6">
        <v>61</v>
      </c>
      <c r="W157" s="6">
        <v>37.6</v>
      </c>
      <c r="X157" s="6">
        <v>36.9</v>
      </c>
      <c r="Y157" s="56">
        <f t="shared" si="17"/>
        <v>37.25</v>
      </c>
      <c r="Z157" s="6">
        <v>44.5</v>
      </c>
      <c r="AA157" s="6">
        <v>43</v>
      </c>
      <c r="AB157" s="56">
        <f t="shared" si="22"/>
        <v>43.75</v>
      </c>
      <c r="AC157" s="6">
        <v>42</v>
      </c>
      <c r="AD157" s="6">
        <v>42.7</v>
      </c>
      <c r="AE157" s="56">
        <f t="shared" si="18"/>
        <v>42.35</v>
      </c>
      <c r="AF157" s="14" t="s">
        <v>107</v>
      </c>
      <c r="AG157" s="14" t="s">
        <v>94</v>
      </c>
      <c r="AH157" s="14" t="s">
        <v>109</v>
      </c>
      <c r="AI157" s="14" t="s">
        <v>242</v>
      </c>
      <c r="AJ157" s="14" t="s">
        <v>79</v>
      </c>
      <c r="AK157" s="14" t="s">
        <v>586</v>
      </c>
      <c r="AL157" s="20" t="s">
        <v>933</v>
      </c>
      <c r="AM157" s="11" t="s">
        <v>107</v>
      </c>
      <c r="AN157" s="11" t="s">
        <v>586</v>
      </c>
      <c r="AO157" s="29" t="s">
        <v>769</v>
      </c>
      <c r="AP157" s="1" t="s">
        <v>94</v>
      </c>
      <c r="AQ157" s="1" t="s">
        <v>109</v>
      </c>
      <c r="AR157" s="6">
        <v>5</v>
      </c>
      <c r="AS157" s="6" t="s">
        <v>242</v>
      </c>
      <c r="AT157" s="6" t="s">
        <v>79</v>
      </c>
      <c r="AU157" s="6">
        <v>5</v>
      </c>
      <c r="AV157" s="36"/>
      <c r="AW157" s="36"/>
      <c r="AX157" s="36"/>
      <c r="AY157" s="36"/>
      <c r="AZ157" s="36"/>
      <c r="BC157" s="24" t="str">
        <f t="shared" si="20"/>
        <v>Not Obese</v>
      </c>
      <c r="BE157" s="29" t="s">
        <v>934</v>
      </c>
      <c r="BF157" s="29"/>
      <c r="BG157" s="29"/>
      <c r="BH157" s="29"/>
      <c r="BI157" s="29"/>
      <c r="BJ157" s="29"/>
      <c r="BK157" s="29"/>
    </row>
    <row r="158" spans="1:63" ht="18.75" customHeight="1">
      <c r="A158" s="29" t="s">
        <v>935</v>
      </c>
      <c r="B158" s="8">
        <v>45572</v>
      </c>
      <c r="C158" s="1" t="s">
        <v>62</v>
      </c>
      <c r="D158" s="6">
        <v>23</v>
      </c>
      <c r="G158" s="6" t="s">
        <v>63</v>
      </c>
      <c r="H158" s="33" t="str">
        <f t="shared" si="21"/>
        <v>No</v>
      </c>
      <c r="I158" s="33">
        <v>48.5</v>
      </c>
      <c r="J158" s="6">
        <v>19.899999999999999</v>
      </c>
      <c r="K158" s="6">
        <v>1</v>
      </c>
      <c r="L158" s="6">
        <v>1252</v>
      </c>
      <c r="M158" s="6">
        <v>30.5</v>
      </c>
      <c r="N158" s="6">
        <v>37.5</v>
      </c>
      <c r="O158" s="6">
        <v>24.9</v>
      </c>
      <c r="P158" s="6">
        <v>47.8</v>
      </c>
      <c r="Q158" s="6">
        <v>12.9</v>
      </c>
      <c r="R158" s="6">
        <v>17.100000000000001</v>
      </c>
      <c r="S158" s="6">
        <v>10.7</v>
      </c>
      <c r="T158" s="6">
        <v>16.899999999999999</v>
      </c>
      <c r="U158" s="6">
        <v>16.600000000000001</v>
      </c>
      <c r="V158" s="6">
        <v>34</v>
      </c>
      <c r="W158" s="6">
        <v>36</v>
      </c>
      <c r="X158" s="6">
        <v>34.6</v>
      </c>
      <c r="Y158" s="56">
        <f t="shared" ref="Y158:Y173" si="23">AVERAGE(W158,X158)</f>
        <v>35.299999999999997</v>
      </c>
      <c r="Z158" s="6">
        <v>42.4</v>
      </c>
      <c r="AA158" s="6">
        <v>42.6</v>
      </c>
      <c r="AB158" s="56">
        <f t="shared" si="22"/>
        <v>42.5</v>
      </c>
      <c r="AC158" s="6">
        <v>48.8</v>
      </c>
      <c r="AD158" s="6">
        <v>48.2</v>
      </c>
      <c r="AE158" s="56">
        <f t="shared" si="18"/>
        <v>48.5</v>
      </c>
      <c r="AF158" s="14" t="s">
        <v>514</v>
      </c>
      <c r="AG158" s="14" t="s">
        <v>338</v>
      </c>
      <c r="AH158" s="14" t="s">
        <v>202</v>
      </c>
      <c r="AI158" s="14" t="s">
        <v>203</v>
      </c>
      <c r="AJ158" s="14" t="s">
        <v>89</v>
      </c>
      <c r="AK158" s="14" t="s">
        <v>204</v>
      </c>
      <c r="AM158" s="11" t="s">
        <v>514</v>
      </c>
      <c r="AN158" s="11" t="s">
        <v>204</v>
      </c>
      <c r="AO158" s="106" t="s">
        <v>936</v>
      </c>
      <c r="AP158" s="1" t="s">
        <v>338</v>
      </c>
      <c r="AQ158" s="1" t="s">
        <v>202</v>
      </c>
      <c r="AR158" s="6">
        <v>5</v>
      </c>
      <c r="AS158" s="6" t="s">
        <v>203</v>
      </c>
      <c r="AT158" s="6" t="s">
        <v>89</v>
      </c>
      <c r="AU158" s="6">
        <v>5</v>
      </c>
      <c r="AV158" s="36"/>
      <c r="AW158" s="36"/>
      <c r="AX158" s="36"/>
      <c r="AY158" s="36"/>
      <c r="AZ158" s="36"/>
      <c r="BB158" s="24" t="s">
        <v>937</v>
      </c>
      <c r="BC158" s="24" t="str">
        <f t="shared" si="20"/>
        <v>Not Obese</v>
      </c>
      <c r="BE158" s="1" t="s">
        <v>938</v>
      </c>
    </row>
    <row r="159" spans="1:63" ht="18.75" customHeight="1">
      <c r="A159" s="29" t="s">
        <v>939</v>
      </c>
      <c r="B159" s="8">
        <v>45572</v>
      </c>
      <c r="C159" s="1" t="s">
        <v>84</v>
      </c>
      <c r="D159" s="6" t="s">
        <v>940</v>
      </c>
      <c r="G159" s="6" t="s">
        <v>85</v>
      </c>
      <c r="H159" s="33" t="str">
        <f t="shared" si="21"/>
        <v>Yes</v>
      </c>
      <c r="I159" s="33">
        <v>51.5</v>
      </c>
      <c r="J159" s="6">
        <v>32.299999999999997</v>
      </c>
      <c r="K159" s="6">
        <v>2.5</v>
      </c>
      <c r="L159" s="6">
        <v>1129</v>
      </c>
      <c r="M159" s="6">
        <v>24.1</v>
      </c>
      <c r="N159" s="6">
        <v>27.4</v>
      </c>
      <c r="O159" s="6">
        <v>18.899999999999999</v>
      </c>
      <c r="P159" s="6">
        <v>34.9</v>
      </c>
      <c r="Q159" s="6">
        <v>24</v>
      </c>
      <c r="R159" s="6">
        <v>43.3</v>
      </c>
      <c r="S159" s="6">
        <v>21.6</v>
      </c>
      <c r="T159" s="6">
        <v>34.1</v>
      </c>
      <c r="U159" s="6">
        <v>18.7</v>
      </c>
      <c r="V159" s="6">
        <v>50</v>
      </c>
      <c r="W159" s="6">
        <v>38.6</v>
      </c>
      <c r="X159" s="6">
        <v>37.4</v>
      </c>
      <c r="Y159" s="56">
        <f t="shared" si="23"/>
        <v>38</v>
      </c>
      <c r="Z159" s="6">
        <v>46.1</v>
      </c>
      <c r="AA159" s="6">
        <v>45.1</v>
      </c>
      <c r="AB159" s="56">
        <f t="shared" si="22"/>
        <v>45.6</v>
      </c>
      <c r="AC159" s="6">
        <v>48.1</v>
      </c>
      <c r="AD159" s="6">
        <v>48.4</v>
      </c>
      <c r="AE159" s="56">
        <f t="shared" si="18"/>
        <v>48.25</v>
      </c>
      <c r="AF159" s="14" t="s">
        <v>188</v>
      </c>
      <c r="AG159" s="14" t="s">
        <v>386</v>
      </c>
      <c r="AH159" s="14" t="s">
        <v>370</v>
      </c>
      <c r="AI159" s="14" t="s">
        <v>371</v>
      </c>
      <c r="AJ159" s="14" t="s">
        <v>350</v>
      </c>
      <c r="AK159" s="14" t="s">
        <v>392</v>
      </c>
      <c r="AL159" s="20" t="s">
        <v>941</v>
      </c>
      <c r="AM159" s="11" t="s">
        <v>188</v>
      </c>
      <c r="AN159" s="11" t="s">
        <v>392</v>
      </c>
      <c r="AP159" s="1" t="s">
        <v>386</v>
      </c>
      <c r="AQ159" s="1" t="s">
        <v>370</v>
      </c>
      <c r="AR159" s="6">
        <v>5</v>
      </c>
      <c r="AS159" s="6" t="s">
        <v>371</v>
      </c>
      <c r="AT159" s="6" t="s">
        <v>350</v>
      </c>
      <c r="AU159" s="6">
        <v>5</v>
      </c>
      <c r="AV159" s="36"/>
      <c r="AW159" s="36"/>
      <c r="AX159" s="36"/>
      <c r="AY159" s="36"/>
      <c r="AZ159" s="36"/>
      <c r="BB159" s="24" t="s">
        <v>942</v>
      </c>
      <c r="BC159" s="24" t="str">
        <f t="shared" si="20"/>
        <v>Not Obese</v>
      </c>
      <c r="BE159" s="1" t="s">
        <v>943</v>
      </c>
    </row>
    <row r="160" spans="1:63" ht="18.75" customHeight="1">
      <c r="A160" s="29" t="s">
        <v>944</v>
      </c>
      <c r="B160" s="8">
        <v>45573</v>
      </c>
      <c r="C160" s="1" t="s">
        <v>62</v>
      </c>
      <c r="D160" s="137">
        <v>27</v>
      </c>
      <c r="E160" s="137">
        <v>28</v>
      </c>
      <c r="F160" s="137">
        <v>30</v>
      </c>
      <c r="G160" s="6" t="s">
        <v>63</v>
      </c>
      <c r="H160" s="33" t="str">
        <f t="shared" si="21"/>
        <v>Yes</v>
      </c>
      <c r="I160" s="33">
        <v>73.099999999999994</v>
      </c>
      <c r="J160" s="6">
        <v>26.1</v>
      </c>
      <c r="K160" s="6">
        <v>12.5</v>
      </c>
      <c r="L160" s="6">
        <v>1626</v>
      </c>
      <c r="M160" s="6">
        <v>29.3</v>
      </c>
      <c r="N160" s="6">
        <v>35</v>
      </c>
      <c r="O160" s="6">
        <v>22.3</v>
      </c>
      <c r="P160" s="6">
        <v>46.7</v>
      </c>
      <c r="Q160" s="6">
        <v>18</v>
      </c>
      <c r="R160" s="6">
        <v>22.7</v>
      </c>
      <c r="S160" s="6">
        <v>16.2</v>
      </c>
      <c r="T160" s="6">
        <v>23</v>
      </c>
      <c r="U160" s="6">
        <v>24.7</v>
      </c>
      <c r="V160" s="6">
        <v>59</v>
      </c>
      <c r="W160" s="6">
        <v>38.5</v>
      </c>
      <c r="X160" s="6">
        <v>37.9</v>
      </c>
      <c r="Y160" s="56">
        <f t="shared" si="23"/>
        <v>38.200000000000003</v>
      </c>
      <c r="Z160" s="6">
        <v>46.3</v>
      </c>
      <c r="AA160" s="6">
        <v>46.2</v>
      </c>
      <c r="AB160" s="56">
        <f t="shared" si="22"/>
        <v>46.25</v>
      </c>
      <c r="AC160" s="6">
        <v>50.4</v>
      </c>
      <c r="AD160" s="6">
        <v>48.8</v>
      </c>
      <c r="AE160" s="56">
        <f t="shared" ref="AE160:AE168" si="24">AVERAGE(AC160,AD160)</f>
        <v>49.599999999999994</v>
      </c>
      <c r="AF160" s="14" t="s">
        <v>650</v>
      </c>
      <c r="AG160" s="14" t="s">
        <v>646</v>
      </c>
      <c r="AH160" s="14" t="s">
        <v>647</v>
      </c>
      <c r="AI160" s="14" t="s">
        <v>648</v>
      </c>
      <c r="AJ160" s="14" t="s">
        <v>640</v>
      </c>
      <c r="AK160" s="14" t="s">
        <v>649</v>
      </c>
      <c r="AM160" s="11" t="s">
        <v>650</v>
      </c>
      <c r="AN160" s="11" t="s">
        <v>649</v>
      </c>
      <c r="AP160" s="1" t="s">
        <v>646</v>
      </c>
      <c r="AQ160" s="1" t="s">
        <v>647</v>
      </c>
      <c r="AR160" s="6">
        <v>5</v>
      </c>
      <c r="AS160" s="6" t="s">
        <v>648</v>
      </c>
      <c r="AT160" s="6" t="s">
        <v>640</v>
      </c>
      <c r="AU160" s="6">
        <v>5</v>
      </c>
      <c r="AV160" s="36"/>
      <c r="AW160" s="36"/>
      <c r="AX160" s="36"/>
      <c r="AY160" s="36"/>
      <c r="AZ160" s="36"/>
      <c r="BB160" s="24" t="s">
        <v>945</v>
      </c>
      <c r="BC160" s="24" t="str">
        <f t="shared" si="20"/>
        <v>Not Obese</v>
      </c>
      <c r="BE160" s="1" t="s">
        <v>946</v>
      </c>
    </row>
    <row r="161" spans="1:66" ht="37.5">
      <c r="A161" s="29" t="s">
        <v>947</v>
      </c>
      <c r="B161" s="8">
        <v>45573</v>
      </c>
      <c r="C161" s="1" t="s">
        <v>84</v>
      </c>
      <c r="D161" s="6">
        <v>28</v>
      </c>
      <c r="G161" s="6" t="s">
        <v>63</v>
      </c>
      <c r="H161" s="33" t="str">
        <f t="shared" si="21"/>
        <v>Yes</v>
      </c>
      <c r="I161" s="33">
        <v>76.900000000000006</v>
      </c>
      <c r="J161" s="6">
        <v>35.200000000000003</v>
      </c>
      <c r="K161" s="6">
        <v>19.5</v>
      </c>
      <c r="L161" s="6">
        <v>1630</v>
      </c>
      <c r="M161" s="6">
        <v>24.8</v>
      </c>
      <c r="N161" s="6">
        <v>32.299999999999997</v>
      </c>
      <c r="O161" s="6">
        <v>16.3</v>
      </c>
      <c r="P161" s="6">
        <v>42.4</v>
      </c>
      <c r="Q161" s="6">
        <v>24.3</v>
      </c>
      <c r="R161" s="6">
        <v>32.700000000000003</v>
      </c>
      <c r="S161" s="6">
        <v>22.2</v>
      </c>
      <c r="T161" s="6">
        <v>33.6</v>
      </c>
      <c r="U161" s="6">
        <v>28.9</v>
      </c>
      <c r="V161" s="6">
        <v>70</v>
      </c>
      <c r="W161" s="6">
        <v>40.799999999999997</v>
      </c>
      <c r="X161" s="6">
        <v>41.1</v>
      </c>
      <c r="Y161" s="56">
        <f t="shared" si="23"/>
        <v>40.950000000000003</v>
      </c>
      <c r="Z161" s="6">
        <v>42.5</v>
      </c>
      <c r="AA161" s="6">
        <v>43.2</v>
      </c>
      <c r="AB161" s="56">
        <f t="shared" si="22"/>
        <v>42.85</v>
      </c>
      <c r="AC161" s="6">
        <v>45</v>
      </c>
      <c r="AD161" s="6">
        <v>45.2</v>
      </c>
      <c r="AE161" s="56">
        <f t="shared" si="24"/>
        <v>45.1</v>
      </c>
      <c r="AF161" s="14" t="s">
        <v>758</v>
      </c>
      <c r="AG161" s="14" t="s">
        <v>948</v>
      </c>
      <c r="AH161" s="14" t="s">
        <v>385</v>
      </c>
      <c r="AI161" s="14" t="s">
        <v>291</v>
      </c>
      <c r="AJ161" s="14" t="s">
        <v>387</v>
      </c>
      <c r="AK161" s="14" t="s">
        <v>949</v>
      </c>
      <c r="AM161" s="11" t="s">
        <v>758</v>
      </c>
      <c r="AN161" s="11" t="s">
        <v>949</v>
      </c>
      <c r="AP161" s="1" t="s">
        <v>948</v>
      </c>
      <c r="AQ161" s="1" t="s">
        <v>385</v>
      </c>
      <c r="AR161" s="6">
        <v>7</v>
      </c>
      <c r="AS161" s="6" t="s">
        <v>291</v>
      </c>
      <c r="AT161" s="6" t="s">
        <v>387</v>
      </c>
      <c r="AU161" s="6">
        <v>5</v>
      </c>
      <c r="AV161" s="36"/>
      <c r="AW161" s="36"/>
      <c r="AX161" s="36"/>
      <c r="AY161" s="36"/>
      <c r="AZ161" s="36"/>
      <c r="BB161" s="24" t="s">
        <v>950</v>
      </c>
      <c r="BC161" s="24" t="str">
        <f t="shared" si="20"/>
        <v>Obese</v>
      </c>
      <c r="BE161" s="29" t="s">
        <v>951</v>
      </c>
      <c r="BF161" s="29"/>
      <c r="BG161" s="29"/>
      <c r="BH161" s="29"/>
      <c r="BI161" s="29"/>
      <c r="BJ161" s="29"/>
      <c r="BK161" s="29"/>
    </row>
    <row r="162" spans="1:66" ht="18.75" customHeight="1">
      <c r="A162" s="29" t="s">
        <v>952</v>
      </c>
      <c r="B162" s="8">
        <v>45573</v>
      </c>
      <c r="C162" s="1" t="s">
        <v>75</v>
      </c>
      <c r="D162" s="54">
        <v>22</v>
      </c>
      <c r="E162" s="54">
        <v>31</v>
      </c>
      <c r="F162" s="54">
        <v>23</v>
      </c>
      <c r="G162" s="6" t="s">
        <v>63</v>
      </c>
      <c r="H162" s="33" t="str">
        <f t="shared" si="21"/>
        <v>Yes</v>
      </c>
      <c r="I162" s="33">
        <v>81.2</v>
      </c>
      <c r="J162" s="6">
        <v>32.5</v>
      </c>
      <c r="K162" s="6">
        <v>18.5</v>
      </c>
      <c r="L162" s="6">
        <v>1714</v>
      </c>
      <c r="M162" s="6">
        <v>26.4</v>
      </c>
      <c r="N162" s="6">
        <v>33.1</v>
      </c>
      <c r="O162" s="6">
        <v>18.3</v>
      </c>
      <c r="P162" s="6">
        <v>43.9</v>
      </c>
      <c r="Q162" s="6">
        <v>22.5</v>
      </c>
      <c r="R162" s="6">
        <v>28.8</v>
      </c>
      <c r="S162" s="6">
        <v>20.5</v>
      </c>
      <c r="T162" s="6">
        <v>29.6</v>
      </c>
      <c r="U162" s="6">
        <v>28.1</v>
      </c>
      <c r="V162" s="6">
        <v>71</v>
      </c>
      <c r="W162" s="6">
        <v>39.5</v>
      </c>
      <c r="X162" s="6">
        <v>39.200000000000003</v>
      </c>
      <c r="Y162" s="56">
        <f t="shared" si="23"/>
        <v>39.35</v>
      </c>
      <c r="Z162" s="6">
        <v>48.5</v>
      </c>
      <c r="AA162" s="6">
        <v>47.5</v>
      </c>
      <c r="AB162" s="56">
        <f t="shared" si="22"/>
        <v>48</v>
      </c>
      <c r="AC162" s="6">
        <v>46.6</v>
      </c>
      <c r="AD162" s="6">
        <v>47</v>
      </c>
      <c r="AE162" s="56">
        <f t="shared" si="24"/>
        <v>46.8</v>
      </c>
      <c r="AF162" s="14" t="s">
        <v>391</v>
      </c>
      <c r="AG162" s="14" t="s">
        <v>380</v>
      </c>
      <c r="AH162" s="14" t="s">
        <v>189</v>
      </c>
      <c r="AI162" s="14" t="s">
        <v>174</v>
      </c>
      <c r="AJ162" s="14" t="s">
        <v>398</v>
      </c>
      <c r="AK162" s="14" t="s">
        <v>924</v>
      </c>
      <c r="AL162" s="20" t="s">
        <v>953</v>
      </c>
      <c r="AM162" s="11" t="s">
        <v>391</v>
      </c>
      <c r="AN162" s="11" t="s">
        <v>924</v>
      </c>
      <c r="AP162" s="1" t="s">
        <v>380</v>
      </c>
      <c r="AQ162" s="1" t="s">
        <v>189</v>
      </c>
      <c r="AR162" s="6">
        <v>5</v>
      </c>
      <c r="AS162" s="6" t="s">
        <v>174</v>
      </c>
      <c r="AT162" s="6" t="s">
        <v>398</v>
      </c>
      <c r="AU162" s="6">
        <v>5</v>
      </c>
      <c r="AV162" s="36"/>
      <c r="AW162" s="36"/>
      <c r="AX162" s="36"/>
      <c r="AY162" s="36"/>
      <c r="AZ162" s="36"/>
      <c r="BC162" s="24" t="str">
        <f t="shared" si="20"/>
        <v>Obese</v>
      </c>
      <c r="BE162" s="1" t="s">
        <v>954</v>
      </c>
    </row>
    <row r="163" spans="1:66" ht="18.75" customHeight="1">
      <c r="A163" s="29" t="s">
        <v>955</v>
      </c>
      <c r="B163" s="8">
        <v>45577</v>
      </c>
      <c r="C163" s="1" t="s">
        <v>117</v>
      </c>
      <c r="D163" s="6">
        <v>28</v>
      </c>
      <c r="G163" s="6" t="s">
        <v>63</v>
      </c>
      <c r="H163" s="33" t="str">
        <f t="shared" si="21"/>
        <v>No</v>
      </c>
      <c r="I163" s="33">
        <v>63.4</v>
      </c>
      <c r="J163" s="6">
        <v>13.7</v>
      </c>
      <c r="K163" s="6">
        <v>5</v>
      </c>
      <c r="L163" s="6">
        <v>1541</v>
      </c>
      <c r="M163" s="6">
        <v>36.1</v>
      </c>
      <c r="N163" s="6">
        <v>40.1</v>
      </c>
      <c r="O163" s="6">
        <v>30.9</v>
      </c>
      <c r="P163" s="6">
        <v>53.2</v>
      </c>
      <c r="Q163" s="6">
        <v>9.6999999999999993</v>
      </c>
      <c r="R163" s="6">
        <v>13.9</v>
      </c>
      <c r="S163" s="6">
        <v>8.3000000000000007</v>
      </c>
      <c r="T163" s="6">
        <v>12.9</v>
      </c>
      <c r="U163" s="6">
        <v>20.7</v>
      </c>
      <c r="V163" s="6">
        <v>30</v>
      </c>
      <c r="W163" s="6">
        <v>35.6</v>
      </c>
      <c r="X163" s="6">
        <v>34.799999999999997</v>
      </c>
      <c r="Y163" s="56">
        <f t="shared" si="23"/>
        <v>35.200000000000003</v>
      </c>
      <c r="Z163" s="6">
        <v>43.8</v>
      </c>
      <c r="AA163" s="6">
        <v>42.8</v>
      </c>
      <c r="AB163" s="56">
        <f t="shared" si="22"/>
        <v>43.3</v>
      </c>
      <c r="AC163" s="6">
        <v>47.6</v>
      </c>
      <c r="AD163" s="6">
        <v>48.2</v>
      </c>
      <c r="AE163" s="56">
        <f t="shared" si="24"/>
        <v>47.900000000000006</v>
      </c>
      <c r="AF163" s="14" t="s">
        <v>149</v>
      </c>
      <c r="AG163" s="14" t="s">
        <v>282</v>
      </c>
      <c r="AH163" s="14" t="s">
        <v>956</v>
      </c>
      <c r="AI163" s="14" t="s">
        <v>957</v>
      </c>
      <c r="AJ163" s="14" t="s">
        <v>152</v>
      </c>
      <c r="AK163" s="14" t="s">
        <v>958</v>
      </c>
      <c r="AM163" s="11" t="s">
        <v>149</v>
      </c>
      <c r="AN163" s="11" t="s">
        <v>958</v>
      </c>
      <c r="AP163" s="1" t="s">
        <v>282</v>
      </c>
      <c r="AQ163" s="1" t="s">
        <v>956</v>
      </c>
      <c r="AR163" s="6">
        <v>6</v>
      </c>
      <c r="AS163" s="6" t="s">
        <v>957</v>
      </c>
      <c r="AT163" s="6" t="s">
        <v>152</v>
      </c>
      <c r="AU163" s="6">
        <v>5</v>
      </c>
      <c r="AV163" s="36"/>
      <c r="AW163" s="36"/>
      <c r="AX163" s="36"/>
      <c r="AY163" s="36"/>
      <c r="AZ163" s="36"/>
      <c r="BB163" s="24" t="s">
        <v>959</v>
      </c>
      <c r="BC163" s="24" t="str">
        <f t="shared" si="20"/>
        <v>Not Obese</v>
      </c>
      <c r="BE163" s="29" t="s">
        <v>960</v>
      </c>
      <c r="BF163" s="29"/>
      <c r="BG163" s="29"/>
      <c r="BH163" s="29"/>
      <c r="BI163" s="29"/>
      <c r="BJ163" s="29"/>
      <c r="BK163" s="29"/>
    </row>
    <row r="164" spans="1:66" ht="18.75" customHeight="1">
      <c r="A164" s="29" t="s">
        <v>961</v>
      </c>
      <c r="B164" s="8">
        <v>45577</v>
      </c>
      <c r="C164" s="1" t="s">
        <v>62</v>
      </c>
      <c r="D164" s="6">
        <v>20</v>
      </c>
      <c r="G164" s="6" t="s">
        <v>85</v>
      </c>
      <c r="H164" s="33" t="str">
        <f t="shared" si="21"/>
        <v>No</v>
      </c>
      <c r="I164" s="33">
        <v>44.6</v>
      </c>
      <c r="J164" s="6">
        <v>24.1</v>
      </c>
      <c r="K164" s="6">
        <v>2</v>
      </c>
      <c r="L164" s="6">
        <v>1048</v>
      </c>
      <c r="M164" s="6">
        <v>26.6</v>
      </c>
      <c r="N164" s="6">
        <v>31.8</v>
      </c>
      <c r="O164" s="6">
        <v>21.5</v>
      </c>
      <c r="P164" s="6">
        <v>38.799999999999997</v>
      </c>
      <c r="Q164" s="6">
        <v>19.8</v>
      </c>
      <c r="R164" s="6">
        <v>33.700000000000003</v>
      </c>
      <c r="S164" s="6">
        <v>15.9</v>
      </c>
      <c r="T164" s="6">
        <v>27.6</v>
      </c>
      <c r="U164" s="6">
        <v>18.600000000000001</v>
      </c>
      <c r="V164" s="6">
        <v>39</v>
      </c>
      <c r="W164" s="6">
        <v>35.200000000000003</v>
      </c>
      <c r="X164" s="6">
        <v>34.799999999999997</v>
      </c>
      <c r="Y164" s="56">
        <f t="shared" si="23"/>
        <v>35</v>
      </c>
      <c r="Z164" s="6">
        <v>46.3</v>
      </c>
      <c r="AA164" s="6">
        <v>43.1</v>
      </c>
      <c r="AB164" s="56">
        <f t="shared" si="22"/>
        <v>44.7</v>
      </c>
      <c r="AC164" s="6">
        <v>40.200000000000003</v>
      </c>
      <c r="AD164" s="6">
        <v>41.3</v>
      </c>
      <c r="AE164" s="56">
        <f t="shared" si="24"/>
        <v>40.75</v>
      </c>
      <c r="AF164" s="14" t="s">
        <v>645</v>
      </c>
      <c r="AG164" s="14" t="s">
        <v>289</v>
      </c>
      <c r="AH164" s="14" t="s">
        <v>639</v>
      </c>
      <c r="AI164" s="14" t="s">
        <v>897</v>
      </c>
      <c r="AJ164" s="14" t="s">
        <v>883</v>
      </c>
      <c r="AK164" s="14" t="s">
        <v>962</v>
      </c>
      <c r="AM164" s="11" t="s">
        <v>645</v>
      </c>
      <c r="AN164" s="11" t="s">
        <v>962</v>
      </c>
      <c r="AP164" s="1" t="s">
        <v>289</v>
      </c>
      <c r="AQ164" s="1" t="s">
        <v>639</v>
      </c>
      <c r="AR164" s="6">
        <v>5</v>
      </c>
      <c r="AS164" s="6" t="s">
        <v>897</v>
      </c>
      <c r="AT164" s="6" t="s">
        <v>883</v>
      </c>
      <c r="AU164" s="6">
        <v>5</v>
      </c>
      <c r="AV164" s="36"/>
      <c r="AW164" s="36"/>
      <c r="AX164" s="36"/>
      <c r="AY164" s="36"/>
      <c r="AZ164" s="36"/>
      <c r="BB164" s="24" t="s">
        <v>963</v>
      </c>
      <c r="BC164" s="24" t="str">
        <f t="shared" si="20"/>
        <v>Not Obese</v>
      </c>
      <c r="BE164" s="1" t="s">
        <v>964</v>
      </c>
      <c r="BM164" s="1" t="s">
        <v>965</v>
      </c>
    </row>
    <row r="165" spans="1:66" ht="18.75" customHeight="1">
      <c r="A165" s="29" t="s">
        <v>966</v>
      </c>
      <c r="B165" s="8">
        <v>45577</v>
      </c>
      <c r="C165" s="1" t="s">
        <v>84</v>
      </c>
      <c r="D165" s="6">
        <v>17</v>
      </c>
      <c r="G165" s="6" t="s">
        <v>63</v>
      </c>
      <c r="H165" s="33" t="str">
        <f t="shared" si="21"/>
        <v>Yes</v>
      </c>
      <c r="I165" s="33">
        <v>85.4</v>
      </c>
      <c r="J165" s="6">
        <v>25.8</v>
      </c>
      <c r="K165" s="6">
        <v>16</v>
      </c>
      <c r="L165" s="6">
        <v>1837</v>
      </c>
      <c r="M165" s="6">
        <v>31.2</v>
      </c>
      <c r="N165" s="6">
        <v>35.1</v>
      </c>
      <c r="O165" s="6">
        <v>23.8</v>
      </c>
      <c r="P165" s="6">
        <v>48.5</v>
      </c>
      <c r="Q165" s="6">
        <v>18.600000000000001</v>
      </c>
      <c r="R165" s="6">
        <v>22.8</v>
      </c>
      <c r="S165" s="6">
        <v>17.2</v>
      </c>
      <c r="T165" s="6">
        <v>23.1</v>
      </c>
      <c r="U165" s="6">
        <v>29.6</v>
      </c>
      <c r="V165" s="6">
        <v>54</v>
      </c>
      <c r="W165" s="6">
        <v>42.7</v>
      </c>
      <c r="X165" s="6">
        <v>43.4</v>
      </c>
      <c r="Y165" s="56">
        <f t="shared" si="23"/>
        <v>43.05</v>
      </c>
      <c r="Z165" s="6">
        <v>47.5</v>
      </c>
      <c r="AA165" s="6">
        <v>46.5</v>
      </c>
      <c r="AB165" s="56">
        <f t="shared" si="22"/>
        <v>47</v>
      </c>
      <c r="AC165" s="6">
        <v>44</v>
      </c>
      <c r="AD165" s="6">
        <v>44</v>
      </c>
      <c r="AE165" s="56">
        <f t="shared" si="24"/>
        <v>44</v>
      </c>
      <c r="AF165" s="14" t="s">
        <v>330</v>
      </c>
      <c r="AG165" s="14" t="s">
        <v>189</v>
      </c>
      <c r="AH165" s="14" t="s">
        <v>190</v>
      </c>
      <c r="AI165" s="14" t="s">
        <v>191</v>
      </c>
      <c r="AJ165" s="14" t="s">
        <v>351</v>
      </c>
      <c r="AK165" s="14" t="s">
        <v>352</v>
      </c>
      <c r="AM165" s="11" t="s">
        <v>330</v>
      </c>
      <c r="AN165" s="11" t="s">
        <v>352</v>
      </c>
      <c r="AP165" s="1" t="s">
        <v>189</v>
      </c>
      <c r="AQ165" s="1" t="s">
        <v>190</v>
      </c>
      <c r="AR165" s="6">
        <v>5</v>
      </c>
      <c r="AS165" s="6" t="s">
        <v>191</v>
      </c>
      <c r="AT165" s="6" t="s">
        <v>351</v>
      </c>
      <c r="AU165" s="6">
        <v>5</v>
      </c>
      <c r="AV165" s="36"/>
      <c r="AW165" s="36"/>
      <c r="AX165" s="36"/>
      <c r="AY165" s="36"/>
      <c r="AZ165" s="36"/>
      <c r="BB165" s="24" t="s">
        <v>967</v>
      </c>
      <c r="BC165" s="24" t="str">
        <f t="shared" si="20"/>
        <v>Obese</v>
      </c>
      <c r="BE165" s="1" t="s">
        <v>968</v>
      </c>
      <c r="BM165" s="29"/>
      <c r="BN165" s="1" t="s">
        <v>969</v>
      </c>
    </row>
    <row r="166" spans="1:66" ht="18.75" customHeight="1">
      <c r="A166" s="29" t="s">
        <v>970</v>
      </c>
      <c r="B166" s="8">
        <v>45577</v>
      </c>
      <c r="C166" s="1" t="s">
        <v>75</v>
      </c>
      <c r="D166" s="6">
        <v>32</v>
      </c>
      <c r="G166" s="6" t="s">
        <v>85</v>
      </c>
      <c r="H166" s="33" t="str">
        <f t="shared" si="21"/>
        <v>No</v>
      </c>
      <c r="I166" s="33">
        <v>50.4</v>
      </c>
      <c r="J166" s="6">
        <v>27.7</v>
      </c>
      <c r="K166" s="6">
        <v>4</v>
      </c>
      <c r="L166" s="6">
        <v>1129</v>
      </c>
      <c r="M166" s="6">
        <v>25.8</v>
      </c>
      <c r="N166" s="6">
        <v>29.6</v>
      </c>
      <c r="O166" s="6">
        <v>20.5</v>
      </c>
      <c r="P166" s="6">
        <v>38.700000000000003</v>
      </c>
      <c r="Q166" s="6">
        <v>23.8</v>
      </c>
      <c r="R166" s="6">
        <v>38.200000000000003</v>
      </c>
      <c r="S166" s="6">
        <v>19.8</v>
      </c>
      <c r="T166" s="6">
        <v>32.799999999999997</v>
      </c>
      <c r="U166" s="6">
        <v>21.5</v>
      </c>
      <c r="V166" s="6">
        <v>42</v>
      </c>
      <c r="W166" s="6">
        <v>36.1</v>
      </c>
      <c r="X166" s="6">
        <v>35.4</v>
      </c>
      <c r="Y166" s="56">
        <f t="shared" si="23"/>
        <v>35.75</v>
      </c>
      <c r="Z166" s="6">
        <v>44.7</v>
      </c>
      <c r="AA166" s="6">
        <v>43.5</v>
      </c>
      <c r="AB166" s="56">
        <f t="shared" si="22"/>
        <v>44.1</v>
      </c>
      <c r="AC166" s="6">
        <v>41.8</v>
      </c>
      <c r="AD166" s="6">
        <v>42.7</v>
      </c>
      <c r="AE166" s="56">
        <f t="shared" si="24"/>
        <v>42.25</v>
      </c>
      <c r="AF166" s="14" t="s">
        <v>257</v>
      </c>
      <c r="AG166" s="14" t="s">
        <v>360</v>
      </c>
      <c r="AH166" s="14" t="s">
        <v>258</v>
      </c>
      <c r="AI166" s="14" t="s">
        <v>284</v>
      </c>
      <c r="AJ166" s="14" t="s">
        <v>786</v>
      </c>
      <c r="AK166" s="14" t="s">
        <v>787</v>
      </c>
      <c r="AM166" s="11" t="s">
        <v>257</v>
      </c>
      <c r="AN166" s="11" t="s">
        <v>787</v>
      </c>
      <c r="AP166" s="1" t="s">
        <v>360</v>
      </c>
      <c r="AQ166" s="1" t="s">
        <v>258</v>
      </c>
      <c r="AR166" s="6">
        <v>5</v>
      </c>
      <c r="AS166" s="6" t="s">
        <v>284</v>
      </c>
      <c r="AT166" s="6" t="s">
        <v>786</v>
      </c>
      <c r="AU166" s="6">
        <v>5</v>
      </c>
      <c r="AV166" s="36"/>
      <c r="AW166" s="36"/>
      <c r="AX166" s="36"/>
      <c r="AY166" s="36"/>
      <c r="AZ166" s="36"/>
      <c r="BB166" s="24" t="s">
        <v>971</v>
      </c>
      <c r="BC166" s="24" t="str">
        <f t="shared" si="20"/>
        <v>Not Obese</v>
      </c>
      <c r="BE166" s="1" t="s">
        <v>972</v>
      </c>
    </row>
    <row r="167" spans="1:66" ht="18.75" customHeight="1">
      <c r="A167" s="29" t="s">
        <v>973</v>
      </c>
      <c r="B167" s="8">
        <v>45579</v>
      </c>
      <c r="C167" s="1" t="s">
        <v>117</v>
      </c>
      <c r="D167" s="6">
        <v>26</v>
      </c>
      <c r="G167" s="6" t="s">
        <v>63</v>
      </c>
      <c r="H167" s="33" t="str">
        <f t="shared" si="21"/>
        <v>No</v>
      </c>
      <c r="I167" s="33">
        <v>81.8</v>
      </c>
      <c r="J167" s="6">
        <v>24.9</v>
      </c>
      <c r="K167" s="6">
        <v>13.5</v>
      </c>
      <c r="L167" s="6">
        <v>1784</v>
      </c>
      <c r="M167" s="6">
        <v>31.4</v>
      </c>
      <c r="N167" s="6">
        <v>35.799999999999997</v>
      </c>
      <c r="O167" s="6">
        <v>24.2</v>
      </c>
      <c r="P167" s="6">
        <v>48.7</v>
      </c>
      <c r="Q167" s="6">
        <v>17.600000000000001</v>
      </c>
      <c r="R167" s="6">
        <v>21.7</v>
      </c>
      <c r="S167" s="6">
        <v>16</v>
      </c>
      <c r="T167" s="6">
        <v>21.9</v>
      </c>
      <c r="U167" s="6">
        <v>26.7</v>
      </c>
      <c r="V167" s="6">
        <v>55</v>
      </c>
      <c r="W167" s="6">
        <v>40.1</v>
      </c>
      <c r="X167" s="6">
        <v>39.700000000000003</v>
      </c>
      <c r="Y167" s="56">
        <f t="shared" si="23"/>
        <v>39.900000000000006</v>
      </c>
      <c r="Z167" s="6">
        <v>45.5</v>
      </c>
      <c r="AA167" s="6">
        <v>44.8</v>
      </c>
      <c r="AB167" s="56">
        <f t="shared" si="22"/>
        <v>45.15</v>
      </c>
      <c r="AC167" s="6">
        <v>46.5</v>
      </c>
      <c r="AD167" s="6">
        <v>46.8</v>
      </c>
      <c r="AE167" s="56">
        <f t="shared" si="24"/>
        <v>46.65</v>
      </c>
      <c r="AF167" s="14" t="s">
        <v>264</v>
      </c>
      <c r="AG167" s="14" t="s">
        <v>974</v>
      </c>
      <c r="AH167" s="14" t="s">
        <v>94</v>
      </c>
      <c r="AI167" s="14" t="s">
        <v>786</v>
      </c>
      <c r="AJ167" s="14" t="s">
        <v>242</v>
      </c>
      <c r="AK167" s="14" t="s">
        <v>601</v>
      </c>
      <c r="AM167" s="11" t="s">
        <v>264</v>
      </c>
      <c r="AN167" s="11" t="s">
        <v>601</v>
      </c>
      <c r="AO167" s="29" t="s">
        <v>975</v>
      </c>
      <c r="AP167" s="1" t="s">
        <v>974</v>
      </c>
      <c r="AQ167" s="1" t="s">
        <v>94</v>
      </c>
      <c r="AR167" s="6">
        <v>5</v>
      </c>
      <c r="AS167" s="6" t="s">
        <v>260</v>
      </c>
      <c r="AT167" s="6" t="s">
        <v>113</v>
      </c>
      <c r="AU167" s="6">
        <v>5</v>
      </c>
      <c r="AV167" s="36"/>
      <c r="AW167" s="36"/>
      <c r="AX167" s="36"/>
      <c r="AY167" s="36"/>
      <c r="AZ167" s="36"/>
      <c r="BB167" s="24" t="s">
        <v>976</v>
      </c>
      <c r="BC167" s="24" t="str">
        <f t="shared" si="20"/>
        <v>Not Obese</v>
      </c>
      <c r="BE167" s="29" t="s">
        <v>977</v>
      </c>
      <c r="BF167" s="29"/>
      <c r="BG167" s="29"/>
      <c r="BH167" s="29"/>
      <c r="BI167" s="29"/>
      <c r="BJ167" s="29"/>
      <c r="BK167" s="29"/>
    </row>
    <row r="168" spans="1:66" ht="18.75" customHeight="1">
      <c r="A168" s="29" t="s">
        <v>978</v>
      </c>
      <c r="B168" s="8">
        <v>45579</v>
      </c>
      <c r="C168" s="1" t="s">
        <v>62</v>
      </c>
      <c r="D168" s="6">
        <v>25</v>
      </c>
      <c r="G168" s="6" t="s">
        <v>63</v>
      </c>
      <c r="H168" s="33" t="str">
        <f t="shared" si="21"/>
        <v>Yes</v>
      </c>
      <c r="I168" s="33">
        <v>67.8</v>
      </c>
      <c r="J168" s="6">
        <v>25.9</v>
      </c>
      <c r="K168" s="6">
        <v>10</v>
      </c>
      <c r="L168" s="6">
        <v>1548</v>
      </c>
      <c r="M168" s="6">
        <v>30.1</v>
      </c>
      <c r="N168" s="6">
        <v>36.700000000000003</v>
      </c>
      <c r="O168" s="6">
        <v>22.9</v>
      </c>
      <c r="P168" s="6">
        <v>47.5</v>
      </c>
      <c r="Q168" s="6">
        <v>17.8</v>
      </c>
      <c r="R168" s="6">
        <v>24.8</v>
      </c>
      <c r="S168" s="6">
        <v>15.9</v>
      </c>
      <c r="T168" s="6">
        <v>24.8</v>
      </c>
      <c r="U168" s="6">
        <v>24.3</v>
      </c>
      <c r="V168" s="6">
        <v>46</v>
      </c>
      <c r="W168" s="6">
        <v>34</v>
      </c>
      <c r="X168" s="6">
        <v>35.1</v>
      </c>
      <c r="Y168" s="56">
        <f t="shared" si="23"/>
        <v>34.549999999999997</v>
      </c>
      <c r="Z168" s="6">
        <v>42.1</v>
      </c>
      <c r="AA168" s="6">
        <v>42.7</v>
      </c>
      <c r="AB168" s="56">
        <f t="shared" si="22"/>
        <v>42.400000000000006</v>
      </c>
      <c r="AC168" s="6">
        <v>46.7</v>
      </c>
      <c r="AD168" s="6">
        <v>46.8</v>
      </c>
      <c r="AE168" s="56">
        <f t="shared" si="24"/>
        <v>46.75</v>
      </c>
      <c r="AF168" s="14" t="s">
        <v>836</v>
      </c>
      <c r="AG168" s="14" t="s">
        <v>258</v>
      </c>
      <c r="AH168" s="14" t="s">
        <v>88</v>
      </c>
      <c r="AI168" s="14" t="s">
        <v>260</v>
      </c>
      <c r="AJ168" s="14" t="s">
        <v>113</v>
      </c>
      <c r="AK168" s="14" t="s">
        <v>979</v>
      </c>
      <c r="AM168" s="11" t="s">
        <v>836</v>
      </c>
      <c r="AN168" s="11" t="s">
        <v>979</v>
      </c>
      <c r="AO168" s="20" t="s">
        <v>980</v>
      </c>
      <c r="AP168" s="1" t="s">
        <v>258</v>
      </c>
      <c r="AQ168" s="1" t="s">
        <v>88</v>
      </c>
      <c r="AR168" s="6">
        <v>5</v>
      </c>
      <c r="AS168" s="6" t="s">
        <v>260</v>
      </c>
      <c r="AT168" s="6" t="s">
        <v>113</v>
      </c>
      <c r="AU168" s="6">
        <v>5</v>
      </c>
      <c r="AV168" s="36"/>
      <c r="AW168" s="36"/>
      <c r="AX168" s="36"/>
      <c r="AY168" s="36"/>
      <c r="AZ168" s="36"/>
      <c r="BB168" s="24" t="s">
        <v>981</v>
      </c>
      <c r="BC168" s="24" t="str">
        <f t="shared" si="20"/>
        <v>Not Obese</v>
      </c>
      <c r="BE168" s="1" t="s">
        <v>982</v>
      </c>
    </row>
    <row r="169" spans="1:66" ht="18.75" customHeight="1">
      <c r="A169" s="29" t="s">
        <v>983</v>
      </c>
      <c r="B169" s="8">
        <v>45579</v>
      </c>
      <c r="C169" s="1" t="s">
        <v>75</v>
      </c>
      <c r="D169" s="6">
        <v>28</v>
      </c>
      <c r="G169" s="6" t="s">
        <v>85</v>
      </c>
      <c r="H169" s="33" t="str">
        <f t="shared" si="21"/>
        <v>Yes</v>
      </c>
      <c r="I169" s="33">
        <v>67.400000000000006</v>
      </c>
      <c r="J169" s="6">
        <v>34.4</v>
      </c>
      <c r="K169" s="6">
        <v>8</v>
      </c>
      <c r="L169" s="6">
        <v>1367</v>
      </c>
      <c r="M169" s="6">
        <v>24.3</v>
      </c>
      <c r="N169" s="6">
        <v>24.2</v>
      </c>
      <c r="O169" s="6">
        <v>17.899999999999999</v>
      </c>
      <c r="P169" s="6">
        <v>37.6</v>
      </c>
      <c r="Q169" s="6">
        <v>30.4</v>
      </c>
      <c r="R169" s="6">
        <v>45.8</v>
      </c>
      <c r="S169" s="6">
        <v>26.5</v>
      </c>
      <c r="T169" s="6">
        <v>40.700000000000003</v>
      </c>
      <c r="U169" s="6">
        <v>26</v>
      </c>
      <c r="V169" s="6">
        <v>56</v>
      </c>
      <c r="W169" s="6">
        <v>41.1</v>
      </c>
      <c r="X169" s="6">
        <v>41.8</v>
      </c>
      <c r="Y169" s="56">
        <f t="shared" si="23"/>
        <v>41.45</v>
      </c>
      <c r="Z169" s="6">
        <v>47.6</v>
      </c>
      <c r="AA169" s="6">
        <v>47.6</v>
      </c>
      <c r="AB169" s="56">
        <f t="shared" si="22"/>
        <v>47.6</v>
      </c>
      <c r="AC169" s="6">
        <v>44.1</v>
      </c>
      <c r="AD169" s="6">
        <v>43.7</v>
      </c>
      <c r="AE169" s="56">
        <f t="shared" ref="AE169:AE217" si="25">AVERAGE(AC169,AD169)</f>
        <v>43.900000000000006</v>
      </c>
      <c r="AF169" s="14" t="s">
        <v>264</v>
      </c>
      <c r="AG169" s="14" t="s">
        <v>93</v>
      </c>
      <c r="AH169" s="14" t="s">
        <v>108</v>
      </c>
      <c r="AI169" s="14" t="s">
        <v>302</v>
      </c>
      <c r="AJ169" s="14" t="s">
        <v>110</v>
      </c>
      <c r="AK169" s="14" t="s">
        <v>303</v>
      </c>
      <c r="AM169" s="11" t="s">
        <v>264</v>
      </c>
      <c r="AN169" s="11" t="s">
        <v>303</v>
      </c>
      <c r="AP169" s="1" t="s">
        <v>93</v>
      </c>
      <c r="AQ169" s="1" t="s">
        <v>108</v>
      </c>
      <c r="AR169" s="6">
        <v>5</v>
      </c>
      <c r="AS169" s="6" t="s">
        <v>302</v>
      </c>
      <c r="AT169" s="6" t="s">
        <v>110</v>
      </c>
      <c r="AU169" s="6">
        <v>5</v>
      </c>
      <c r="AV169" s="36"/>
      <c r="AW169" s="36"/>
      <c r="AX169" s="36"/>
      <c r="AY169" s="36"/>
      <c r="AZ169" s="36"/>
      <c r="BB169" s="24" t="s">
        <v>984</v>
      </c>
      <c r="BC169" s="24" t="str">
        <f t="shared" si="20"/>
        <v>Obese</v>
      </c>
      <c r="BE169" s="1" t="s">
        <v>985</v>
      </c>
    </row>
    <row r="170" spans="1:66" ht="18.75" customHeight="1">
      <c r="A170" s="29" t="s">
        <v>986</v>
      </c>
      <c r="B170" s="8">
        <v>45583</v>
      </c>
      <c r="C170" s="1" t="s">
        <v>84</v>
      </c>
      <c r="D170" s="6">
        <v>20</v>
      </c>
      <c r="G170" s="6" t="s">
        <v>85</v>
      </c>
      <c r="H170" s="33" t="str">
        <f t="shared" si="21"/>
        <v>No</v>
      </c>
      <c r="I170" s="33">
        <v>41.8</v>
      </c>
      <c r="J170" s="6">
        <v>22.5</v>
      </c>
      <c r="K170" s="6">
        <v>1</v>
      </c>
      <c r="L170" s="6">
        <v>1009</v>
      </c>
      <c r="M170" s="6">
        <v>27.3</v>
      </c>
      <c r="N170" s="6">
        <v>33.299999999999997</v>
      </c>
      <c r="O170" s="6">
        <v>22.7</v>
      </c>
      <c r="P170" s="6">
        <v>37.5</v>
      </c>
      <c r="Q170" s="6">
        <v>17.399999999999999</v>
      </c>
      <c r="R170" s="6">
        <v>32.6</v>
      </c>
      <c r="S170" s="6">
        <v>13.8</v>
      </c>
      <c r="T170" s="6">
        <v>26.2</v>
      </c>
      <c r="U170" s="6">
        <v>16.3</v>
      </c>
      <c r="V170" s="6">
        <v>28</v>
      </c>
      <c r="W170" s="6">
        <v>31.3</v>
      </c>
      <c r="X170" s="6">
        <v>30.8</v>
      </c>
      <c r="Y170" s="56">
        <f t="shared" si="23"/>
        <v>31.05</v>
      </c>
      <c r="Z170" s="6">
        <v>45.1</v>
      </c>
      <c r="AA170" s="6">
        <v>45.2</v>
      </c>
      <c r="AB170" s="56">
        <f t="shared" si="22"/>
        <v>45.150000000000006</v>
      </c>
      <c r="AC170" s="6">
        <v>45.4</v>
      </c>
      <c r="AD170" s="6">
        <v>44.7</v>
      </c>
      <c r="AE170" s="56">
        <f t="shared" si="25"/>
        <v>45.05</v>
      </c>
      <c r="AF170" s="14" t="s">
        <v>670</v>
      </c>
      <c r="AG170" s="14" t="s">
        <v>409</v>
      </c>
      <c r="AH170" s="14" t="s">
        <v>454</v>
      </c>
      <c r="AI170" s="14" t="s">
        <v>214</v>
      </c>
      <c r="AJ170" s="14" t="s">
        <v>215</v>
      </c>
      <c r="AK170" s="14" t="s">
        <v>216</v>
      </c>
      <c r="AM170" s="11" t="s">
        <v>670</v>
      </c>
      <c r="AN170" s="11" t="s">
        <v>216</v>
      </c>
      <c r="AO170" s="29" t="s">
        <v>987</v>
      </c>
      <c r="AP170" s="1" t="s">
        <v>409</v>
      </c>
      <c r="AQ170" s="1" t="s">
        <v>454</v>
      </c>
      <c r="AR170" s="6">
        <v>5</v>
      </c>
      <c r="AS170" s="6" t="s">
        <v>214</v>
      </c>
      <c r="AT170" s="6" t="s">
        <v>215</v>
      </c>
      <c r="AU170" s="6">
        <v>5</v>
      </c>
      <c r="AV170" s="36"/>
      <c r="AW170" s="36"/>
      <c r="AX170" s="36"/>
      <c r="AY170" s="36"/>
      <c r="AZ170" s="36"/>
      <c r="BB170" s="24" t="s">
        <v>988</v>
      </c>
      <c r="BC170" s="24" t="str">
        <f t="shared" si="20"/>
        <v>Not Obese</v>
      </c>
      <c r="BE170" s="1" t="s">
        <v>989</v>
      </c>
    </row>
    <row r="171" spans="1:66" ht="18.75" customHeight="1">
      <c r="A171" s="29" t="s">
        <v>990</v>
      </c>
      <c r="B171" s="8">
        <v>45583</v>
      </c>
      <c r="C171" s="1" t="s">
        <v>75</v>
      </c>
      <c r="D171" s="6">
        <v>22</v>
      </c>
      <c r="G171" s="6" t="s">
        <v>63</v>
      </c>
      <c r="H171" s="33" t="str">
        <f t="shared" si="21"/>
        <v>No</v>
      </c>
      <c r="I171" s="33">
        <v>66.8</v>
      </c>
      <c r="J171" s="6">
        <v>21.4</v>
      </c>
      <c r="K171" s="6">
        <v>10</v>
      </c>
      <c r="L171" s="6">
        <v>1549</v>
      </c>
      <c r="M171" s="6">
        <v>31</v>
      </c>
      <c r="N171" s="6">
        <v>36.299999999999997</v>
      </c>
      <c r="O171" s="6">
        <v>24.9</v>
      </c>
      <c r="P171" s="6">
        <v>48.3</v>
      </c>
      <c r="Q171" s="6">
        <v>14.8</v>
      </c>
      <c r="R171" s="6">
        <v>18.399999999999999</v>
      </c>
      <c r="S171" s="6">
        <v>13.2</v>
      </c>
      <c r="T171" s="6">
        <v>18.3</v>
      </c>
      <c r="U171" s="6">
        <v>23.4</v>
      </c>
      <c r="V171" s="6">
        <v>52</v>
      </c>
      <c r="W171" s="6">
        <v>36.1</v>
      </c>
      <c r="X171" s="6">
        <v>35.200000000000003</v>
      </c>
      <c r="Y171" s="56">
        <f t="shared" si="23"/>
        <v>35.650000000000006</v>
      </c>
      <c r="Z171" s="6">
        <v>43.2</v>
      </c>
      <c r="AA171" s="6">
        <v>43</v>
      </c>
      <c r="AB171" s="56">
        <f t="shared" si="22"/>
        <v>43.1</v>
      </c>
      <c r="AC171" s="6">
        <v>47</v>
      </c>
      <c r="AD171" s="6">
        <v>48.2</v>
      </c>
      <c r="AE171" s="56">
        <f t="shared" si="25"/>
        <v>47.6</v>
      </c>
      <c r="AF171" s="14" t="s">
        <v>670</v>
      </c>
      <c r="AG171" s="14" t="s">
        <v>397</v>
      </c>
      <c r="AH171" s="14" t="s">
        <v>454</v>
      </c>
      <c r="AI171" s="14" t="s">
        <v>214</v>
      </c>
      <c r="AJ171" s="14" t="s">
        <v>215</v>
      </c>
      <c r="AK171" s="14" t="s">
        <v>216</v>
      </c>
      <c r="AM171" s="11" t="s">
        <v>220</v>
      </c>
      <c r="AN171" s="11" t="s">
        <v>216</v>
      </c>
      <c r="AP171" s="1" t="s">
        <v>409</v>
      </c>
      <c r="AQ171" s="1" t="s">
        <v>454</v>
      </c>
      <c r="AR171" s="6">
        <v>5</v>
      </c>
      <c r="AS171" s="6" t="s">
        <v>214</v>
      </c>
      <c r="AT171" s="6" t="s">
        <v>215</v>
      </c>
      <c r="AU171" s="6">
        <v>5</v>
      </c>
      <c r="AV171" s="36"/>
      <c r="AW171" s="36"/>
      <c r="AX171" s="36"/>
      <c r="AY171" s="36"/>
      <c r="AZ171" s="36"/>
      <c r="BB171" s="24" t="s">
        <v>991</v>
      </c>
      <c r="BC171" s="24" t="str">
        <f t="shared" si="20"/>
        <v>Not Obese</v>
      </c>
      <c r="BE171" s="29" t="s">
        <v>992</v>
      </c>
      <c r="BF171" s="29"/>
      <c r="BG171" s="29"/>
      <c r="BH171" s="29"/>
      <c r="BI171" s="29"/>
      <c r="BJ171" s="29"/>
      <c r="BK171" s="29"/>
    </row>
    <row r="172" spans="1:66" ht="18.75" customHeight="1">
      <c r="A172" s="29" t="s">
        <v>993</v>
      </c>
      <c r="B172" s="8">
        <v>45584</v>
      </c>
      <c r="C172" s="1" t="s">
        <v>117</v>
      </c>
      <c r="D172" s="6">
        <v>22</v>
      </c>
      <c r="G172" s="6" t="s">
        <v>85</v>
      </c>
      <c r="H172" s="33" t="str">
        <f t="shared" si="21"/>
        <v>No</v>
      </c>
      <c r="I172" s="33">
        <v>66.8</v>
      </c>
      <c r="J172" s="6">
        <v>31.7</v>
      </c>
      <c r="K172" s="6">
        <v>5.5</v>
      </c>
      <c r="L172" s="6">
        <v>1373</v>
      </c>
      <c r="M172" s="6">
        <v>25.8</v>
      </c>
      <c r="N172" s="6">
        <v>26.1</v>
      </c>
      <c r="O172" s="6">
        <v>19.600000000000001</v>
      </c>
      <c r="P172" s="6">
        <v>38.9</v>
      </c>
      <c r="Q172" s="6">
        <v>27.5</v>
      </c>
      <c r="R172" s="6">
        <v>43.1</v>
      </c>
      <c r="S172" s="6">
        <v>23.7</v>
      </c>
      <c r="T172" s="6">
        <v>37.9</v>
      </c>
      <c r="U172" s="6">
        <v>24</v>
      </c>
      <c r="V172" s="6">
        <v>48</v>
      </c>
      <c r="W172" s="6">
        <v>41.7</v>
      </c>
      <c r="X172" s="6">
        <v>41.5</v>
      </c>
      <c r="Y172" s="56">
        <f t="shared" si="23"/>
        <v>41.6</v>
      </c>
      <c r="Z172" s="6">
        <v>47.9</v>
      </c>
      <c r="AA172" s="6">
        <v>46.9</v>
      </c>
      <c r="AB172" s="56">
        <f t="shared" si="22"/>
        <v>47.4</v>
      </c>
      <c r="AC172" s="6">
        <v>43.4</v>
      </c>
      <c r="AD172" s="6">
        <v>44</v>
      </c>
      <c r="AE172" s="56">
        <f t="shared" si="25"/>
        <v>43.7</v>
      </c>
      <c r="AF172" s="14" t="s">
        <v>384</v>
      </c>
      <c r="AG172" s="14" t="s">
        <v>385</v>
      </c>
      <c r="AH172" s="14" t="s">
        <v>386</v>
      </c>
      <c r="AI172" s="14" t="s">
        <v>387</v>
      </c>
      <c r="AJ172" s="14" t="s">
        <v>375</v>
      </c>
      <c r="AK172" s="14" t="s">
        <v>994</v>
      </c>
      <c r="AL172" s="20" t="s">
        <v>995</v>
      </c>
      <c r="AM172" s="11" t="s">
        <v>384</v>
      </c>
      <c r="AN172" s="11" t="s">
        <v>994</v>
      </c>
      <c r="AP172" s="1" t="s">
        <v>385</v>
      </c>
      <c r="AQ172" s="1" t="s">
        <v>386</v>
      </c>
      <c r="AR172" s="6">
        <v>5</v>
      </c>
      <c r="AS172" s="6" t="s">
        <v>387</v>
      </c>
      <c r="AT172" s="6" t="s">
        <v>375</v>
      </c>
      <c r="AU172" s="6">
        <v>5</v>
      </c>
      <c r="AV172" s="36"/>
      <c r="AW172" s="36"/>
      <c r="AX172" s="36"/>
      <c r="AY172" s="36"/>
      <c r="AZ172" s="36"/>
      <c r="BC172" s="24" t="str">
        <f t="shared" si="20"/>
        <v>Not Obese</v>
      </c>
      <c r="BE172" s="1" t="s">
        <v>996</v>
      </c>
    </row>
    <row r="173" spans="1:66" ht="18.75" customHeight="1">
      <c r="A173" s="29" t="s">
        <v>997</v>
      </c>
      <c r="B173" s="8">
        <v>45584</v>
      </c>
      <c r="C173" s="1" t="s">
        <v>62</v>
      </c>
      <c r="D173" s="6">
        <v>17</v>
      </c>
      <c r="G173" s="6" t="s">
        <v>63</v>
      </c>
      <c r="H173" s="33" t="str">
        <f t="shared" si="21"/>
        <v>Yes</v>
      </c>
      <c r="I173" s="33">
        <v>69</v>
      </c>
      <c r="J173" s="6">
        <v>29.3</v>
      </c>
      <c r="K173" s="6">
        <v>13.5</v>
      </c>
      <c r="L173" s="6">
        <v>1543</v>
      </c>
      <c r="M173" s="6">
        <v>27.7</v>
      </c>
      <c r="N173" s="6">
        <v>34.700000000000003</v>
      </c>
      <c r="O173" s="6">
        <v>20.2</v>
      </c>
      <c r="P173" s="6">
        <v>45.2</v>
      </c>
      <c r="Q173" s="6">
        <v>20.2</v>
      </c>
      <c r="R173" s="6">
        <v>27.2</v>
      </c>
      <c r="S173" s="6">
        <v>18.2</v>
      </c>
      <c r="T173" s="6">
        <v>27.6</v>
      </c>
      <c r="U173" s="6">
        <v>26</v>
      </c>
      <c r="V173" s="6">
        <v>56</v>
      </c>
      <c r="W173" s="6">
        <v>42.3</v>
      </c>
      <c r="X173" s="6">
        <v>42.8</v>
      </c>
      <c r="Y173" s="56">
        <f t="shared" si="23"/>
        <v>42.55</v>
      </c>
      <c r="Z173" s="6">
        <v>46.2</v>
      </c>
      <c r="AA173" s="6">
        <v>46.5</v>
      </c>
      <c r="AB173" s="56">
        <f t="shared" ref="AB173:AB217" si="26">AVERAGE(Z173,AA173)</f>
        <v>46.35</v>
      </c>
      <c r="AC173" s="6">
        <v>45.7</v>
      </c>
      <c r="AD173" s="6">
        <v>46.2</v>
      </c>
      <c r="AE173" s="56">
        <f t="shared" si="25"/>
        <v>45.95</v>
      </c>
      <c r="AF173" s="14" t="s">
        <v>435</v>
      </c>
      <c r="AG173" s="14" t="s">
        <v>222</v>
      </c>
      <c r="AH173" s="14" t="s">
        <v>201</v>
      </c>
      <c r="AI173" s="14" t="s">
        <v>223</v>
      </c>
      <c r="AJ173" s="14" t="s">
        <v>284</v>
      </c>
      <c r="AK173" s="14" t="s">
        <v>434</v>
      </c>
      <c r="AM173" s="11" t="s">
        <v>435</v>
      </c>
      <c r="AN173" s="11" t="s">
        <v>434</v>
      </c>
      <c r="AP173" s="1" t="s">
        <v>222</v>
      </c>
      <c r="AQ173" s="1" t="s">
        <v>201</v>
      </c>
      <c r="AR173" s="6">
        <v>5</v>
      </c>
      <c r="AS173" s="6" t="s">
        <v>223</v>
      </c>
      <c r="AT173" s="6" t="s">
        <v>284</v>
      </c>
      <c r="AU173" s="6">
        <v>5</v>
      </c>
      <c r="AV173" s="36"/>
      <c r="AW173" s="36"/>
      <c r="AX173" s="36"/>
      <c r="AY173" s="36"/>
      <c r="AZ173" s="36"/>
      <c r="BB173" s="24" t="s">
        <v>998</v>
      </c>
      <c r="BC173" s="24" t="str">
        <f t="shared" si="20"/>
        <v>Obese</v>
      </c>
      <c r="BE173" s="1" t="s">
        <v>999</v>
      </c>
    </row>
    <row r="174" spans="1:66" ht="18.75" customHeight="1">
      <c r="A174" s="29" t="s">
        <v>1000</v>
      </c>
      <c r="B174" s="8">
        <v>45584</v>
      </c>
      <c r="C174" s="1" t="s">
        <v>84</v>
      </c>
      <c r="D174" s="148">
        <v>20</v>
      </c>
      <c r="E174" s="148"/>
      <c r="F174" s="148"/>
      <c r="G174" s="6" t="s">
        <v>85</v>
      </c>
      <c r="H174" s="33" t="str">
        <f t="shared" si="21"/>
        <v>Yes</v>
      </c>
      <c r="I174" s="33">
        <v>48.8</v>
      </c>
      <c r="J174" s="6">
        <v>32.1</v>
      </c>
      <c r="K174" s="6">
        <v>2.5</v>
      </c>
      <c r="L174" s="6">
        <v>1087</v>
      </c>
      <c r="M174" s="6">
        <v>23.8</v>
      </c>
      <c r="N174" s="6">
        <v>27.6</v>
      </c>
      <c r="O174" s="6">
        <v>18.7</v>
      </c>
      <c r="P174" s="6">
        <v>34.799999999999997</v>
      </c>
      <c r="Q174" s="6">
        <v>23.9</v>
      </c>
      <c r="R174" s="6">
        <v>42.8</v>
      </c>
      <c r="S174" s="6">
        <v>21.4</v>
      </c>
      <c r="T174" s="6">
        <v>33.4</v>
      </c>
      <c r="U174" s="6">
        <v>18.600000000000001</v>
      </c>
      <c r="V174" s="6">
        <v>50</v>
      </c>
      <c r="W174" s="6">
        <v>36.5</v>
      </c>
      <c r="X174" s="6">
        <v>35.5</v>
      </c>
      <c r="Y174" s="56">
        <f t="shared" ref="Y174:Y217" si="27">AVERAGE(W174,X174)</f>
        <v>36</v>
      </c>
      <c r="Z174" s="6">
        <v>43.1</v>
      </c>
      <c r="AA174" s="6">
        <v>43.5</v>
      </c>
      <c r="AB174" s="56">
        <f t="shared" si="26"/>
        <v>43.3</v>
      </c>
      <c r="AC174" s="6">
        <v>43.6</v>
      </c>
      <c r="AD174" s="6">
        <v>42.2</v>
      </c>
      <c r="AE174" s="56">
        <f t="shared" si="25"/>
        <v>42.900000000000006</v>
      </c>
      <c r="AF174" s="14" t="s">
        <v>812</v>
      </c>
      <c r="AG174" s="14" t="s">
        <v>258</v>
      </c>
      <c r="AH174" s="14" t="s">
        <v>228</v>
      </c>
      <c r="AI174" s="14" t="s">
        <v>736</v>
      </c>
      <c r="AJ174" s="14" t="s">
        <v>71</v>
      </c>
      <c r="AK174" s="14" t="s">
        <v>122</v>
      </c>
      <c r="AL174" s="1" t="s">
        <v>1001</v>
      </c>
      <c r="AM174" s="11" t="s">
        <v>812</v>
      </c>
      <c r="AN174" s="11" t="s">
        <v>122</v>
      </c>
      <c r="AP174" s="1" t="s">
        <v>258</v>
      </c>
      <c r="AQ174" s="1" t="s">
        <v>228</v>
      </c>
      <c r="AR174" s="6">
        <v>6</v>
      </c>
      <c r="AS174" s="6" t="s">
        <v>736</v>
      </c>
      <c r="AT174" s="6" t="s">
        <v>71</v>
      </c>
      <c r="AU174" s="6">
        <v>6</v>
      </c>
      <c r="AV174" s="36"/>
      <c r="AW174" s="36"/>
      <c r="AX174" s="36"/>
      <c r="AY174" s="36"/>
      <c r="AZ174" s="36"/>
      <c r="BB174" s="24" t="s">
        <v>1002</v>
      </c>
      <c r="BC174" s="24" t="str">
        <f t="shared" si="20"/>
        <v>Not Obese</v>
      </c>
      <c r="BE174" s="1" t="s">
        <v>1003</v>
      </c>
    </row>
    <row r="175" spans="1:66" ht="18.75" customHeight="1">
      <c r="A175" s="29" t="s">
        <v>1004</v>
      </c>
      <c r="B175" s="8">
        <v>45584</v>
      </c>
      <c r="C175" s="1" t="s">
        <v>75</v>
      </c>
      <c r="D175" s="54">
        <v>23</v>
      </c>
      <c r="E175" s="54">
        <v>36</v>
      </c>
      <c r="F175" s="54">
        <v>33</v>
      </c>
      <c r="G175" s="149" t="s">
        <v>63</v>
      </c>
      <c r="H175" s="33" t="str">
        <f t="shared" si="21"/>
        <v>Yes</v>
      </c>
      <c r="I175" s="33">
        <v>77.599999999999994</v>
      </c>
      <c r="J175" s="6">
        <v>28.4</v>
      </c>
      <c r="K175" s="6">
        <v>14</v>
      </c>
      <c r="L175" s="6">
        <v>1689</v>
      </c>
      <c r="M175" s="6">
        <v>29</v>
      </c>
      <c r="N175" s="6">
        <v>35.1</v>
      </c>
      <c r="O175" s="6">
        <v>21.4</v>
      </c>
      <c r="P175" s="6">
        <v>46.4</v>
      </c>
      <c r="Q175" s="6">
        <v>19.8</v>
      </c>
      <c r="R175" s="6">
        <v>26</v>
      </c>
      <c r="S175" s="6">
        <v>17.899999999999999</v>
      </c>
      <c r="T175" s="6">
        <v>26.4</v>
      </c>
      <c r="U175" s="6">
        <v>26.9</v>
      </c>
      <c r="V175" s="6">
        <v>57</v>
      </c>
      <c r="W175" s="6">
        <v>39.5</v>
      </c>
      <c r="X175" s="6">
        <v>40.5</v>
      </c>
      <c r="Y175" s="56">
        <f t="shared" si="27"/>
        <v>40</v>
      </c>
      <c r="Z175" s="6">
        <v>45.5</v>
      </c>
      <c r="AA175" s="6">
        <v>47</v>
      </c>
      <c r="AB175" s="56">
        <f t="shared" si="26"/>
        <v>46.25</v>
      </c>
      <c r="AC175" s="6">
        <v>46.5</v>
      </c>
      <c r="AD175" s="6">
        <v>46.2</v>
      </c>
      <c r="AE175" s="56">
        <f t="shared" si="25"/>
        <v>46.35</v>
      </c>
      <c r="AF175" s="14" t="s">
        <v>86</v>
      </c>
      <c r="AG175" s="14" t="s">
        <v>222</v>
      </c>
      <c r="AH175" s="14" t="s">
        <v>201</v>
      </c>
      <c r="AI175" s="14" t="s">
        <v>223</v>
      </c>
      <c r="AJ175" s="14" t="s">
        <v>284</v>
      </c>
      <c r="AK175" s="14" t="s">
        <v>434</v>
      </c>
      <c r="AM175" s="11" t="s">
        <v>86</v>
      </c>
      <c r="AN175" s="11" t="s">
        <v>434</v>
      </c>
      <c r="AP175" s="1" t="s">
        <v>222</v>
      </c>
      <c r="AQ175" s="1" t="s">
        <v>201</v>
      </c>
      <c r="AR175" s="6">
        <v>5</v>
      </c>
      <c r="AS175" s="6" t="s">
        <v>223</v>
      </c>
      <c r="AT175" s="6" t="s">
        <v>284</v>
      </c>
      <c r="AU175" s="6">
        <v>5</v>
      </c>
      <c r="AV175" s="36"/>
      <c r="AW175" s="36"/>
      <c r="AX175" s="36"/>
      <c r="AY175" s="36"/>
      <c r="AZ175" s="36"/>
      <c r="BB175" s="24" t="s">
        <v>1005</v>
      </c>
      <c r="BC175" s="24" t="str">
        <f t="shared" si="20"/>
        <v>Obese</v>
      </c>
      <c r="BE175" s="29" t="s">
        <v>1006</v>
      </c>
      <c r="BF175" s="29"/>
      <c r="BG175" s="29"/>
      <c r="BH175" s="29"/>
      <c r="BI175" s="29"/>
      <c r="BJ175" s="29"/>
      <c r="BK175" s="29"/>
    </row>
    <row r="176" spans="1:66" ht="18.75" customHeight="1">
      <c r="A176" s="29" t="s">
        <v>1007</v>
      </c>
      <c r="B176" s="8">
        <v>45600</v>
      </c>
      <c r="C176" s="1" t="s">
        <v>62</v>
      </c>
      <c r="D176" s="137">
        <v>25</v>
      </c>
      <c r="E176" s="137">
        <v>27</v>
      </c>
      <c r="F176" s="137">
        <v>27</v>
      </c>
      <c r="G176" s="6" t="s">
        <v>63</v>
      </c>
      <c r="H176" s="33" t="str">
        <f t="shared" si="21"/>
        <v>Yes</v>
      </c>
      <c r="I176" s="33">
        <v>81.5</v>
      </c>
      <c r="J176" s="6">
        <v>27.1</v>
      </c>
      <c r="K176" s="6">
        <v>11.5</v>
      </c>
      <c r="L176" s="6">
        <v>1765</v>
      </c>
      <c r="M176" s="6">
        <v>30.4</v>
      </c>
      <c r="N176" s="6">
        <v>36</v>
      </c>
      <c r="O176" s="6">
        <v>22.8</v>
      </c>
      <c r="P176" s="6">
        <v>47.7</v>
      </c>
      <c r="Q176" s="6">
        <v>18.7</v>
      </c>
      <c r="R176" s="6">
        <v>24.6</v>
      </c>
      <c r="S176" s="6">
        <v>16.8</v>
      </c>
      <c r="T176" s="6">
        <v>24.9</v>
      </c>
      <c r="U176" s="6">
        <v>25.2</v>
      </c>
      <c r="V176" s="6">
        <v>54</v>
      </c>
      <c r="W176" s="6">
        <v>40</v>
      </c>
      <c r="X176" s="6">
        <v>40.5</v>
      </c>
      <c r="Y176" s="56">
        <f t="shared" si="27"/>
        <v>40.25</v>
      </c>
      <c r="Z176" s="6">
        <v>48.8</v>
      </c>
      <c r="AA176" s="6">
        <v>48.3</v>
      </c>
      <c r="AB176" s="56">
        <f t="shared" si="26"/>
        <v>48.55</v>
      </c>
      <c r="AC176" s="6">
        <v>49.4</v>
      </c>
      <c r="AD176" s="6">
        <v>49.6</v>
      </c>
      <c r="AE176" s="56">
        <f t="shared" si="25"/>
        <v>49.5</v>
      </c>
      <c r="AF176" s="14" t="s">
        <v>248</v>
      </c>
      <c r="AG176" s="14" t="s">
        <v>646</v>
      </c>
      <c r="AH176" s="14" t="s">
        <v>647</v>
      </c>
      <c r="AI176" s="14" t="s">
        <v>648</v>
      </c>
      <c r="AJ176" s="14" t="s">
        <v>640</v>
      </c>
      <c r="AK176" s="14" t="s">
        <v>649</v>
      </c>
      <c r="AM176" s="11" t="s">
        <v>248</v>
      </c>
      <c r="AN176" s="11" t="s">
        <v>649</v>
      </c>
      <c r="AP176" s="1" t="s">
        <v>646</v>
      </c>
      <c r="AQ176" s="1" t="s">
        <v>647</v>
      </c>
      <c r="AR176" s="6">
        <v>5</v>
      </c>
      <c r="AS176" s="6" t="s">
        <v>648</v>
      </c>
      <c r="AT176" s="6" t="s">
        <v>640</v>
      </c>
      <c r="AU176" s="6">
        <v>5</v>
      </c>
      <c r="AV176" s="36"/>
      <c r="AW176" s="36"/>
      <c r="AX176" s="36"/>
      <c r="AY176" s="36"/>
      <c r="AZ176" s="36"/>
      <c r="BB176" s="24" t="s">
        <v>1008</v>
      </c>
      <c r="BC176" s="24" t="str">
        <f t="shared" si="20"/>
        <v>Obese</v>
      </c>
      <c r="BE176" s="1" t="s">
        <v>1009</v>
      </c>
    </row>
    <row r="177" spans="1:63" ht="18.75" customHeight="1">
      <c r="A177" s="29" t="s">
        <v>1010</v>
      </c>
      <c r="B177" s="8">
        <v>45600</v>
      </c>
      <c r="C177" s="1" t="s">
        <v>84</v>
      </c>
      <c r="D177" s="6">
        <v>15</v>
      </c>
      <c r="G177" s="6" t="s">
        <v>63</v>
      </c>
      <c r="H177" s="33" t="str">
        <f t="shared" si="21"/>
        <v>Yes</v>
      </c>
      <c r="I177" s="33">
        <v>69.900000000000006</v>
      </c>
      <c r="J177" s="6">
        <v>27.9</v>
      </c>
      <c r="K177" s="6">
        <v>13.5</v>
      </c>
      <c r="L177" s="6">
        <v>1562</v>
      </c>
      <c r="M177" s="6">
        <v>27.8</v>
      </c>
      <c r="N177" s="6">
        <v>34.5</v>
      </c>
      <c r="O177" s="6">
        <v>20.6</v>
      </c>
      <c r="P177" s="6">
        <v>45.3</v>
      </c>
      <c r="Q177" s="6">
        <v>19.2</v>
      </c>
      <c r="R177" s="6">
        <v>24.5</v>
      </c>
      <c r="S177" s="6">
        <v>17.3</v>
      </c>
      <c r="T177" s="6">
        <v>25</v>
      </c>
      <c r="U177" s="6">
        <v>25.4</v>
      </c>
      <c r="V177" s="6">
        <v>61</v>
      </c>
      <c r="W177" s="6">
        <v>37</v>
      </c>
      <c r="X177" s="6">
        <v>38.4</v>
      </c>
      <c r="Y177" s="56">
        <f t="shared" si="27"/>
        <v>37.700000000000003</v>
      </c>
      <c r="Z177" s="6">
        <v>42.2</v>
      </c>
      <c r="AA177" s="6">
        <v>42.6</v>
      </c>
      <c r="AB177" s="56">
        <f t="shared" si="26"/>
        <v>42.400000000000006</v>
      </c>
      <c r="AC177" s="6">
        <v>49.3</v>
      </c>
      <c r="AD177" s="6">
        <v>46.3</v>
      </c>
      <c r="AE177" s="56">
        <f t="shared" si="25"/>
        <v>47.8</v>
      </c>
      <c r="AF177" s="14" t="s">
        <v>378</v>
      </c>
      <c r="AG177" s="14" t="s">
        <v>639</v>
      </c>
      <c r="AH177" s="14" t="s">
        <v>314</v>
      </c>
      <c r="AI177" s="14" t="s">
        <v>883</v>
      </c>
      <c r="AJ177" s="14" t="s">
        <v>1011</v>
      </c>
      <c r="AK177" s="14" t="s">
        <v>884</v>
      </c>
      <c r="AM177" s="11" t="s">
        <v>378</v>
      </c>
      <c r="AN177" s="11" t="s">
        <v>884</v>
      </c>
      <c r="AP177" s="1" t="s">
        <v>639</v>
      </c>
      <c r="AQ177" s="1" t="s">
        <v>314</v>
      </c>
      <c r="AR177" s="6">
        <v>5</v>
      </c>
      <c r="AS177" s="6" t="s">
        <v>883</v>
      </c>
      <c r="AT177" s="6" t="s">
        <v>1011</v>
      </c>
      <c r="AU177" s="6">
        <v>5</v>
      </c>
      <c r="AV177" s="36"/>
      <c r="AW177" s="36"/>
      <c r="AX177" s="36"/>
      <c r="AY177" s="36"/>
      <c r="AZ177" s="36"/>
      <c r="BB177" s="24" t="s">
        <v>1012</v>
      </c>
      <c r="BC177" s="24" t="str">
        <f t="shared" si="20"/>
        <v>Obese</v>
      </c>
      <c r="BE177" s="29" t="s">
        <v>1013</v>
      </c>
      <c r="BF177" s="29"/>
      <c r="BG177" s="29"/>
      <c r="BH177" s="29"/>
      <c r="BI177" s="29"/>
      <c r="BJ177" s="29"/>
      <c r="BK177" s="29"/>
    </row>
    <row r="178" spans="1:63" ht="18.75" customHeight="1">
      <c r="A178" s="29" t="s">
        <v>1014</v>
      </c>
      <c r="B178" s="8">
        <v>45600</v>
      </c>
      <c r="C178" s="1" t="s">
        <v>75</v>
      </c>
      <c r="D178" s="6">
        <v>24</v>
      </c>
      <c r="G178" s="6" t="s">
        <v>63</v>
      </c>
      <c r="H178" s="33" t="str">
        <f t="shared" si="21"/>
        <v>No</v>
      </c>
      <c r="I178" s="33">
        <v>69.599999999999994</v>
      </c>
      <c r="J178" s="6">
        <v>23.6</v>
      </c>
      <c r="K178" s="6">
        <v>9</v>
      </c>
      <c r="L178" s="6">
        <v>1585</v>
      </c>
      <c r="M178" s="6">
        <v>30.4</v>
      </c>
      <c r="N178" s="6">
        <v>36.200000000000003</v>
      </c>
      <c r="O178" s="6">
        <v>23.9</v>
      </c>
      <c r="P178" s="6">
        <v>47.8</v>
      </c>
      <c r="Q178" s="6">
        <v>16.100000000000001</v>
      </c>
      <c r="R178" s="6">
        <v>20.3</v>
      </c>
      <c r="S178" s="6">
        <v>14.1</v>
      </c>
      <c r="T178" s="6">
        <v>20.399999999999999</v>
      </c>
      <c r="U178" s="6">
        <v>22.5</v>
      </c>
      <c r="V178" s="6">
        <v>54</v>
      </c>
      <c r="W178" s="6">
        <v>39.299999999999997</v>
      </c>
      <c r="X178" s="6">
        <v>38.5</v>
      </c>
      <c r="Y178" s="56">
        <f t="shared" si="27"/>
        <v>38.9</v>
      </c>
      <c r="Z178" s="6">
        <v>48.7</v>
      </c>
      <c r="AA178" s="6">
        <v>46.3</v>
      </c>
      <c r="AB178" s="56">
        <f t="shared" si="26"/>
        <v>47.5</v>
      </c>
      <c r="AC178" s="6">
        <v>48.6</v>
      </c>
      <c r="AD178" s="6">
        <v>49</v>
      </c>
      <c r="AE178" s="56">
        <f t="shared" si="25"/>
        <v>48.8</v>
      </c>
      <c r="AF178" s="14" t="s">
        <v>666</v>
      </c>
      <c r="AG178" s="14" t="s">
        <v>348</v>
      </c>
      <c r="AH178" s="14" t="s">
        <v>349</v>
      </c>
      <c r="AI178" s="14" t="s">
        <v>191</v>
      </c>
      <c r="AJ178" s="14" t="s">
        <v>351</v>
      </c>
      <c r="AK178" s="14" t="s">
        <v>193</v>
      </c>
      <c r="AM178" s="11" t="s">
        <v>666</v>
      </c>
      <c r="AN178" s="11" t="s">
        <v>193</v>
      </c>
      <c r="AP178" s="1" t="s">
        <v>370</v>
      </c>
      <c r="AQ178" s="1" t="s">
        <v>349</v>
      </c>
      <c r="AR178" s="6">
        <v>5</v>
      </c>
      <c r="AS178" s="6" t="s">
        <v>191</v>
      </c>
      <c r="AT178" s="6" t="s">
        <v>351</v>
      </c>
      <c r="AU178" s="6">
        <v>5</v>
      </c>
      <c r="AV178" s="36"/>
      <c r="AW178" s="36"/>
      <c r="AX178" s="36"/>
      <c r="AY178" s="36"/>
      <c r="AZ178" s="36"/>
      <c r="BB178" s="24" t="s">
        <v>1015</v>
      </c>
      <c r="BC178" s="24" t="str">
        <f t="shared" si="20"/>
        <v>Not Obese</v>
      </c>
      <c r="BE178" s="29" t="s">
        <v>1016</v>
      </c>
      <c r="BF178" s="29"/>
      <c r="BG178" s="29"/>
      <c r="BH178" s="29"/>
      <c r="BI178" s="29"/>
      <c r="BJ178" s="29"/>
      <c r="BK178" s="29"/>
    </row>
    <row r="179" spans="1:63" ht="18.75" customHeight="1">
      <c r="A179" s="29" t="s">
        <v>1017</v>
      </c>
      <c r="B179" s="8">
        <v>45632</v>
      </c>
      <c r="C179" s="1" t="s">
        <v>84</v>
      </c>
      <c r="D179" s="6">
        <v>20</v>
      </c>
      <c r="G179" s="6" t="s">
        <v>63</v>
      </c>
      <c r="H179" s="33" t="str">
        <f t="shared" si="21"/>
        <v>No</v>
      </c>
      <c r="I179" s="33">
        <v>68.8</v>
      </c>
      <c r="J179" s="6">
        <v>19.7</v>
      </c>
      <c r="K179" s="6">
        <v>8.5</v>
      </c>
      <c r="L179" s="6">
        <v>1597</v>
      </c>
      <c r="M179" s="6">
        <v>32.9</v>
      </c>
      <c r="N179" s="6">
        <v>38</v>
      </c>
      <c r="O179" s="6">
        <v>26.8</v>
      </c>
      <c r="P179" s="6">
        <v>50.2</v>
      </c>
      <c r="Q179" s="6">
        <v>13.9</v>
      </c>
      <c r="R179" s="6">
        <v>18.100000000000001</v>
      </c>
      <c r="S179" s="6">
        <v>12.3</v>
      </c>
      <c r="T179" s="6">
        <v>17.7</v>
      </c>
      <c r="U179" s="6">
        <v>23.5</v>
      </c>
      <c r="V179" s="6">
        <v>43</v>
      </c>
      <c r="W179" s="6">
        <v>37.9</v>
      </c>
      <c r="X179" s="6">
        <v>37.4</v>
      </c>
      <c r="Y179" s="56">
        <f t="shared" si="27"/>
        <v>37.65</v>
      </c>
      <c r="Z179" s="6">
        <v>45.5</v>
      </c>
      <c r="AA179" s="6">
        <v>46.7</v>
      </c>
      <c r="AB179" s="56">
        <f t="shared" si="26"/>
        <v>46.1</v>
      </c>
      <c r="AC179" s="6">
        <v>44.4</v>
      </c>
      <c r="AD179" s="6">
        <v>44</v>
      </c>
      <c r="AE179" s="56">
        <f t="shared" si="25"/>
        <v>44.2</v>
      </c>
      <c r="AF179" s="14" t="s">
        <v>321</v>
      </c>
      <c r="AG179" s="14" t="s">
        <v>130</v>
      </c>
      <c r="AH179" s="14" t="s">
        <v>343</v>
      </c>
      <c r="AI179" s="14" t="s">
        <v>311</v>
      </c>
      <c r="AJ179" s="14" t="s">
        <v>324</v>
      </c>
      <c r="AK179" s="14" t="s">
        <v>463</v>
      </c>
      <c r="AM179" s="11" t="s">
        <v>321</v>
      </c>
      <c r="AN179" s="11" t="s">
        <v>463</v>
      </c>
      <c r="AP179" s="1" t="s">
        <v>130</v>
      </c>
      <c r="AQ179" s="1" t="s">
        <v>343</v>
      </c>
      <c r="AR179" s="6">
        <v>5</v>
      </c>
      <c r="AS179" s="6" t="s">
        <v>311</v>
      </c>
      <c r="AT179" s="6" t="s">
        <v>324</v>
      </c>
      <c r="AU179" s="6">
        <v>5</v>
      </c>
      <c r="AV179" s="36"/>
      <c r="AW179" s="36"/>
      <c r="AX179" s="36"/>
      <c r="AY179" s="36"/>
      <c r="AZ179" s="36"/>
      <c r="BC179" s="24" t="str">
        <f t="shared" si="20"/>
        <v>Not Obese</v>
      </c>
      <c r="BE179" s="29" t="s">
        <v>1018</v>
      </c>
      <c r="BF179" s="29"/>
      <c r="BG179" s="29"/>
      <c r="BH179" s="29"/>
      <c r="BI179" s="29"/>
      <c r="BJ179" s="29"/>
      <c r="BK179" s="29"/>
    </row>
    <row r="180" spans="1:63" ht="18.75" customHeight="1">
      <c r="A180" s="29" t="s">
        <v>1019</v>
      </c>
      <c r="B180" s="8">
        <v>45601</v>
      </c>
      <c r="C180" s="1" t="s">
        <v>62</v>
      </c>
      <c r="D180" s="6">
        <v>32</v>
      </c>
      <c r="G180" s="6" t="s">
        <v>63</v>
      </c>
      <c r="H180" s="33" t="str">
        <f t="shared" si="21"/>
        <v>No</v>
      </c>
      <c r="I180" s="33">
        <v>69</v>
      </c>
      <c r="J180" s="6">
        <v>22.5</v>
      </c>
      <c r="K180" s="6">
        <v>6</v>
      </c>
      <c r="L180" s="6">
        <v>1589</v>
      </c>
      <c r="M180" s="6">
        <v>32.200000000000003</v>
      </c>
      <c r="N180" s="6">
        <v>38</v>
      </c>
      <c r="O180" s="6">
        <v>25.5</v>
      </c>
      <c r="P180" s="6">
        <v>49.5</v>
      </c>
      <c r="Q180" s="6">
        <v>15.2</v>
      </c>
      <c r="R180" s="6">
        <v>20.9</v>
      </c>
      <c r="S180" s="6">
        <v>13.2</v>
      </c>
      <c r="T180" s="6">
        <v>20.8</v>
      </c>
      <c r="U180" s="6">
        <v>21.3</v>
      </c>
      <c r="V180" s="6">
        <v>42</v>
      </c>
      <c r="W180" s="6">
        <v>39.799999999999997</v>
      </c>
      <c r="X180" s="6">
        <v>39.799999999999997</v>
      </c>
      <c r="Y180" s="56">
        <f t="shared" si="27"/>
        <v>39.799999999999997</v>
      </c>
      <c r="Z180" s="6">
        <v>48.2</v>
      </c>
      <c r="AA180" s="6">
        <v>47.8</v>
      </c>
      <c r="AB180" s="56">
        <f t="shared" si="26"/>
        <v>48</v>
      </c>
      <c r="AC180" s="6">
        <v>51</v>
      </c>
      <c r="AD180" s="6">
        <v>51.6</v>
      </c>
      <c r="AE180" s="56">
        <f t="shared" si="25"/>
        <v>51.3</v>
      </c>
      <c r="AF180" s="14" t="s">
        <v>1020</v>
      </c>
      <c r="AG180" s="14" t="s">
        <v>66</v>
      </c>
      <c r="AH180" s="14" t="s">
        <v>142</v>
      </c>
      <c r="AI180" s="14" t="s">
        <v>80</v>
      </c>
      <c r="AJ180" s="14" t="s">
        <v>445</v>
      </c>
      <c r="AK180" s="14" t="s">
        <v>446</v>
      </c>
      <c r="AM180" s="11" t="s">
        <v>1020</v>
      </c>
      <c r="AN180" s="11" t="s">
        <v>446</v>
      </c>
      <c r="AP180" s="1" t="s">
        <v>232</v>
      </c>
      <c r="AQ180" s="1" t="s">
        <v>444</v>
      </c>
      <c r="AR180" s="6">
        <v>9</v>
      </c>
      <c r="AS180" s="6" t="s">
        <v>80</v>
      </c>
      <c r="AT180" s="6" t="s">
        <v>445</v>
      </c>
      <c r="AU180" s="6">
        <v>7</v>
      </c>
      <c r="AV180" s="36"/>
      <c r="AW180" s="36"/>
      <c r="AX180" s="36"/>
      <c r="AZ180" s="36"/>
      <c r="BB180" s="24" t="s">
        <v>1021</v>
      </c>
      <c r="BC180" s="24" t="str">
        <f t="shared" si="20"/>
        <v>Not Obese</v>
      </c>
      <c r="BE180" s="1" t="s">
        <v>1022</v>
      </c>
    </row>
    <row r="181" spans="1:63" ht="18.75" customHeight="1">
      <c r="A181" s="29" t="s">
        <v>1023</v>
      </c>
      <c r="B181" s="8">
        <v>45601</v>
      </c>
      <c r="C181" s="1" t="s">
        <v>84</v>
      </c>
      <c r="D181" s="6">
        <v>21</v>
      </c>
      <c r="G181" s="6" t="s">
        <v>85</v>
      </c>
      <c r="H181" s="33" t="str">
        <f t="shared" si="21"/>
        <v>Yes</v>
      </c>
      <c r="I181" s="33">
        <v>86.4</v>
      </c>
      <c r="J181" s="6">
        <v>39.5</v>
      </c>
      <c r="K181" s="6">
        <v>18</v>
      </c>
      <c r="L181" s="6">
        <v>1629</v>
      </c>
      <c r="M181" s="6">
        <v>23.2</v>
      </c>
      <c r="N181" s="6">
        <v>18.7</v>
      </c>
      <c r="O181" s="6">
        <v>15.4</v>
      </c>
      <c r="P181" s="6">
        <v>37.700000000000003</v>
      </c>
      <c r="Q181" s="6">
        <v>38.5</v>
      </c>
      <c r="R181" s="6">
        <v>51.1</v>
      </c>
      <c r="S181" s="6">
        <v>34.299999999999997</v>
      </c>
      <c r="T181" s="6">
        <v>49.5</v>
      </c>
      <c r="U181" s="6">
        <v>35.1</v>
      </c>
      <c r="V181" s="6">
        <v>65</v>
      </c>
      <c r="W181" s="6">
        <v>45.9</v>
      </c>
      <c r="X181" s="6">
        <v>46.3</v>
      </c>
      <c r="Y181" s="56">
        <f t="shared" si="27"/>
        <v>46.099999999999994</v>
      </c>
      <c r="Z181" s="6">
        <v>45</v>
      </c>
      <c r="AA181" s="6">
        <v>45</v>
      </c>
      <c r="AB181" s="56">
        <f t="shared" si="26"/>
        <v>45</v>
      </c>
      <c r="AC181" s="6">
        <v>43.5</v>
      </c>
      <c r="AD181" s="6">
        <v>42.3</v>
      </c>
      <c r="AE181" s="56">
        <f t="shared" si="25"/>
        <v>42.9</v>
      </c>
      <c r="AF181" s="14" t="s">
        <v>200</v>
      </c>
      <c r="AG181" s="14" t="s">
        <v>338</v>
      </c>
      <c r="AH181" s="14" t="s">
        <v>202</v>
      </c>
      <c r="AI181" s="14" t="s">
        <v>419</v>
      </c>
      <c r="AJ181" s="14" t="s">
        <v>110</v>
      </c>
      <c r="AK181" s="14" t="s">
        <v>303</v>
      </c>
      <c r="AL181" s="1" t="s">
        <v>1024</v>
      </c>
      <c r="AM181" s="11" t="s">
        <v>200</v>
      </c>
      <c r="AN181" s="11" t="s">
        <v>303</v>
      </c>
      <c r="AP181" s="1" t="s">
        <v>338</v>
      </c>
      <c r="AQ181" s="1" t="s">
        <v>202</v>
      </c>
      <c r="AR181" s="6">
        <v>5</v>
      </c>
      <c r="AS181" s="6" t="s">
        <v>419</v>
      </c>
      <c r="AT181" s="6" t="s">
        <v>110</v>
      </c>
      <c r="AU181" s="6">
        <v>6</v>
      </c>
      <c r="AV181" s="36"/>
      <c r="AW181" s="36"/>
      <c r="AX181" s="36"/>
      <c r="AY181" s="36"/>
      <c r="AZ181" s="36"/>
      <c r="BB181" s="24" t="s">
        <v>1025</v>
      </c>
      <c r="BC181" s="24" t="str">
        <f t="shared" si="20"/>
        <v>Obese</v>
      </c>
      <c r="BE181" s="29" t="s">
        <v>1026</v>
      </c>
      <c r="BF181" s="29"/>
      <c r="BG181" s="29"/>
      <c r="BH181" s="29"/>
      <c r="BI181" s="29"/>
      <c r="BJ181" s="29"/>
      <c r="BK181" s="29"/>
    </row>
    <row r="182" spans="1:63" ht="18.75" customHeight="1">
      <c r="A182" s="29" t="s">
        <v>1027</v>
      </c>
      <c r="B182" s="8">
        <v>45601</v>
      </c>
      <c r="C182" s="1" t="s">
        <v>75</v>
      </c>
      <c r="D182" s="6">
        <v>21</v>
      </c>
      <c r="G182" s="6" t="s">
        <v>63</v>
      </c>
      <c r="H182" s="33" t="str">
        <f t="shared" si="21"/>
        <v>No</v>
      </c>
      <c r="I182" s="33">
        <v>58.5</v>
      </c>
      <c r="J182" s="6">
        <v>24.3</v>
      </c>
      <c r="K182" s="6">
        <v>7.5</v>
      </c>
      <c r="L182" s="6">
        <v>1400</v>
      </c>
      <c r="M182" s="6">
        <v>29.6</v>
      </c>
      <c r="N182" s="6">
        <v>36.200000000000003</v>
      </c>
      <c r="O182" s="6">
        <v>23</v>
      </c>
      <c r="P182" s="6">
        <v>47</v>
      </c>
      <c r="Q182" s="6">
        <v>16.3</v>
      </c>
      <c r="R182" s="6">
        <v>22.1</v>
      </c>
      <c r="S182" s="6">
        <v>14.3</v>
      </c>
      <c r="T182" s="6">
        <v>22.2</v>
      </c>
      <c r="U182" s="6">
        <v>21.5</v>
      </c>
      <c r="V182" s="6">
        <v>45</v>
      </c>
      <c r="W182" s="6">
        <v>34.1</v>
      </c>
      <c r="X182" s="6">
        <v>35.1</v>
      </c>
      <c r="Y182" s="56">
        <f t="shared" si="27"/>
        <v>34.6</v>
      </c>
      <c r="Z182" s="6">
        <v>46.2</v>
      </c>
      <c r="AA182" s="6">
        <v>46.5</v>
      </c>
      <c r="AB182" s="56">
        <f t="shared" si="26"/>
        <v>46.35</v>
      </c>
      <c r="AC182" s="6">
        <v>47.2</v>
      </c>
      <c r="AD182" s="6">
        <v>46.7</v>
      </c>
      <c r="AE182" s="56">
        <f t="shared" si="25"/>
        <v>46.95</v>
      </c>
      <c r="AF182" s="14" t="s">
        <v>666</v>
      </c>
      <c r="AG182" s="14" t="s">
        <v>348</v>
      </c>
      <c r="AH182" s="14" t="s">
        <v>197</v>
      </c>
      <c r="AI182" s="14" t="s">
        <v>191</v>
      </c>
      <c r="AJ182" s="14" t="s">
        <v>351</v>
      </c>
      <c r="AK182" s="14" t="s">
        <v>193</v>
      </c>
      <c r="AL182" s="20" t="s">
        <v>1028</v>
      </c>
      <c r="AM182" s="11" t="s">
        <v>691</v>
      </c>
      <c r="AN182" s="11" t="s">
        <v>193</v>
      </c>
      <c r="AP182" s="1" t="s">
        <v>348</v>
      </c>
      <c r="AQ182" s="1" t="s">
        <v>197</v>
      </c>
      <c r="AR182" s="6">
        <v>7</v>
      </c>
      <c r="AS182" s="6" t="s">
        <v>191</v>
      </c>
      <c r="AT182" s="6" t="s">
        <v>351</v>
      </c>
      <c r="AU182" s="6">
        <v>5</v>
      </c>
      <c r="AV182" s="36"/>
      <c r="AW182" s="36"/>
      <c r="AX182" s="36"/>
      <c r="AY182" s="36"/>
      <c r="AZ182" s="36"/>
      <c r="BC182" s="24" t="str">
        <f t="shared" si="20"/>
        <v>Not Obese</v>
      </c>
      <c r="BE182" s="29" t="s">
        <v>1029</v>
      </c>
      <c r="BF182" s="29"/>
      <c r="BG182" s="29"/>
      <c r="BH182" s="29"/>
      <c r="BI182" s="29"/>
      <c r="BJ182" s="29"/>
      <c r="BK182" s="29"/>
    </row>
    <row r="183" spans="1:63" ht="18.75" customHeight="1">
      <c r="A183" s="29" t="s">
        <v>1030</v>
      </c>
      <c r="B183" s="8">
        <v>45605</v>
      </c>
      <c r="C183" s="1" t="s">
        <v>84</v>
      </c>
      <c r="D183" s="6">
        <v>27</v>
      </c>
      <c r="G183" s="6" t="s">
        <v>85</v>
      </c>
      <c r="H183" s="33" t="str">
        <f t="shared" si="21"/>
        <v>Yes</v>
      </c>
      <c r="I183" s="33">
        <v>46.3</v>
      </c>
      <c r="J183" s="6">
        <v>33.4</v>
      </c>
      <c r="K183" s="6">
        <v>3</v>
      </c>
      <c r="L183" s="6">
        <v>1044</v>
      </c>
      <c r="M183" s="6">
        <v>23.2</v>
      </c>
      <c r="N183" s="6">
        <v>27.4</v>
      </c>
      <c r="O183" s="6">
        <v>18.600000000000001</v>
      </c>
      <c r="P183" s="6">
        <v>35</v>
      </c>
      <c r="Q183" s="6">
        <v>25.6</v>
      </c>
      <c r="R183" s="6">
        <v>45.2</v>
      </c>
      <c r="S183" s="6">
        <v>23</v>
      </c>
      <c r="T183" s="6">
        <v>37</v>
      </c>
      <c r="U183" s="6">
        <v>20</v>
      </c>
      <c r="V183" s="6">
        <v>41</v>
      </c>
      <c r="W183" s="6">
        <v>34.4</v>
      </c>
      <c r="X183" s="6">
        <v>34</v>
      </c>
      <c r="Y183" s="56">
        <f t="shared" si="27"/>
        <v>34.200000000000003</v>
      </c>
      <c r="Z183" s="6">
        <v>39.6</v>
      </c>
      <c r="AA183" s="6">
        <v>38.9</v>
      </c>
      <c r="AB183" s="56">
        <f t="shared" si="26"/>
        <v>39.25</v>
      </c>
      <c r="AC183" s="6">
        <v>39</v>
      </c>
      <c r="AD183" s="6">
        <v>39.6</v>
      </c>
      <c r="AE183" s="56">
        <f t="shared" si="25"/>
        <v>39.299999999999997</v>
      </c>
      <c r="AF183" s="14" t="s">
        <v>418</v>
      </c>
      <c r="AG183" s="14" t="s">
        <v>322</v>
      </c>
      <c r="AH183" s="14" t="s">
        <v>87</v>
      </c>
      <c r="AI183" s="14" t="s">
        <v>325</v>
      </c>
      <c r="AJ183" s="14" t="s">
        <v>203</v>
      </c>
      <c r="AK183" s="14" t="s">
        <v>339</v>
      </c>
      <c r="AM183" s="11" t="s">
        <v>418</v>
      </c>
      <c r="AN183" s="11" t="s">
        <v>339</v>
      </c>
      <c r="AP183" s="1" t="s">
        <v>322</v>
      </c>
      <c r="AQ183" s="1" t="s">
        <v>338</v>
      </c>
      <c r="AR183" s="6">
        <v>5</v>
      </c>
      <c r="AS183" s="6" t="s">
        <v>325</v>
      </c>
      <c r="AT183" s="6" t="s">
        <v>203</v>
      </c>
      <c r="AU183" s="6">
        <v>5</v>
      </c>
      <c r="AV183" s="36"/>
      <c r="AW183" s="36"/>
      <c r="AX183" s="36"/>
      <c r="AY183" s="36"/>
      <c r="AZ183" s="36"/>
      <c r="BB183" s="24" t="s">
        <v>1031</v>
      </c>
      <c r="BC183" s="24" t="str">
        <f t="shared" si="20"/>
        <v>Not Obese</v>
      </c>
      <c r="BE183" s="1" t="s">
        <v>1032</v>
      </c>
    </row>
    <row r="184" spans="1:63" ht="18.75" customHeight="1">
      <c r="A184" s="29" t="s">
        <v>1033</v>
      </c>
      <c r="B184" s="8">
        <v>45653</v>
      </c>
      <c r="C184" s="1" t="s">
        <v>84</v>
      </c>
      <c r="D184" s="54">
        <v>32</v>
      </c>
      <c r="E184" s="54">
        <v>35</v>
      </c>
      <c r="F184" s="54">
        <v>35</v>
      </c>
      <c r="G184" s="6" t="s">
        <v>63</v>
      </c>
      <c r="H184" s="33" t="str">
        <f t="shared" si="21"/>
        <v>No</v>
      </c>
      <c r="I184" s="33">
        <v>65.599999999999994</v>
      </c>
      <c r="J184" s="6">
        <v>22.6</v>
      </c>
      <c r="K184" s="6">
        <v>8</v>
      </c>
      <c r="L184" s="6">
        <v>1529</v>
      </c>
      <c r="M184" s="6">
        <v>31.5</v>
      </c>
      <c r="N184" s="6">
        <v>37.6</v>
      </c>
      <c r="O184" s="6">
        <v>24.9</v>
      </c>
      <c r="P184" s="6">
        <v>48.8</v>
      </c>
      <c r="Q184" s="6">
        <v>15.5</v>
      </c>
      <c r="R184" s="6">
        <v>21.3</v>
      </c>
      <c r="S184" s="6">
        <v>13.6</v>
      </c>
      <c r="T184" s="6">
        <v>21.1</v>
      </c>
      <c r="U184" s="6">
        <v>22.7</v>
      </c>
      <c r="V184" s="6">
        <v>42</v>
      </c>
      <c r="W184" s="6">
        <v>35.799999999999997</v>
      </c>
      <c r="X184" s="6">
        <v>36.700000000000003</v>
      </c>
      <c r="Y184" s="56">
        <f t="shared" si="27"/>
        <v>36.25</v>
      </c>
      <c r="Z184" s="6">
        <v>44.2</v>
      </c>
      <c r="AA184" s="6">
        <v>43.9</v>
      </c>
      <c r="AB184" s="56">
        <f t="shared" si="26"/>
        <v>44.05</v>
      </c>
      <c r="AC184" s="6">
        <v>45.5</v>
      </c>
      <c r="AD184" s="6">
        <v>46</v>
      </c>
      <c r="AE184" s="56">
        <f t="shared" si="25"/>
        <v>45.75</v>
      </c>
      <c r="AF184" s="14" t="s">
        <v>220</v>
      </c>
      <c r="AG184" s="14" t="s">
        <v>397</v>
      </c>
      <c r="AH184" s="14" t="s">
        <v>454</v>
      </c>
      <c r="AI184" s="14" t="s">
        <v>328</v>
      </c>
      <c r="AJ184" s="14" t="s">
        <v>215</v>
      </c>
      <c r="AK184" s="14" t="s">
        <v>216</v>
      </c>
      <c r="AM184" s="11" t="s">
        <v>220</v>
      </c>
      <c r="AN184" s="11" t="s">
        <v>216</v>
      </c>
      <c r="AP184" s="1" t="s">
        <v>397</v>
      </c>
      <c r="AQ184" s="1" t="s">
        <v>454</v>
      </c>
      <c r="AR184" s="6">
        <v>6</v>
      </c>
      <c r="AS184" s="6" t="s">
        <v>214</v>
      </c>
      <c r="AT184" s="6" t="s">
        <v>215</v>
      </c>
      <c r="AU184" s="6">
        <v>5</v>
      </c>
      <c r="AV184" s="36"/>
      <c r="AW184" s="36"/>
      <c r="AX184" s="36"/>
      <c r="AY184" s="36"/>
      <c r="AZ184" s="36"/>
      <c r="BB184" s="24" t="s">
        <v>1034</v>
      </c>
      <c r="BC184" s="24" t="str">
        <f t="shared" si="20"/>
        <v>Not Obese</v>
      </c>
      <c r="BE184" s="1" t="s">
        <v>1035</v>
      </c>
    </row>
    <row r="185" spans="1:63" ht="18.75" customHeight="1">
      <c r="A185" s="29" t="s">
        <v>1036</v>
      </c>
      <c r="B185" s="8">
        <v>45605</v>
      </c>
      <c r="C185" s="1" t="s">
        <v>75</v>
      </c>
      <c r="D185" s="6">
        <v>32</v>
      </c>
      <c r="G185" s="6" t="s">
        <v>85</v>
      </c>
      <c r="H185" s="33" t="str">
        <f t="shared" si="21"/>
        <v>No</v>
      </c>
      <c r="I185" s="33">
        <v>40</v>
      </c>
      <c r="J185" s="6">
        <v>25.4</v>
      </c>
      <c r="K185" s="6">
        <v>2</v>
      </c>
      <c r="L185" s="6">
        <v>969</v>
      </c>
      <c r="M185" s="6">
        <v>25.1</v>
      </c>
      <c r="N185" s="6">
        <v>31.1</v>
      </c>
      <c r="O185" s="6">
        <v>20.6</v>
      </c>
      <c r="P185" s="6">
        <v>37.1</v>
      </c>
      <c r="Q185" s="6">
        <v>20.2</v>
      </c>
      <c r="R185" s="6">
        <v>35.700000000000003</v>
      </c>
      <c r="S185" s="6">
        <v>16.600000000000001</v>
      </c>
      <c r="T185" s="6">
        <v>29.2</v>
      </c>
      <c r="U185" s="6">
        <v>18.3</v>
      </c>
      <c r="V185" s="6">
        <v>32</v>
      </c>
      <c r="W185" s="6">
        <v>33.700000000000003</v>
      </c>
      <c r="X185" s="6">
        <v>35.200000000000003</v>
      </c>
      <c r="Y185" s="56">
        <f t="shared" si="27"/>
        <v>34.450000000000003</v>
      </c>
      <c r="Z185" s="6">
        <v>44</v>
      </c>
      <c r="AA185" s="6">
        <v>43.6</v>
      </c>
      <c r="AB185" s="56">
        <f t="shared" si="26"/>
        <v>43.8</v>
      </c>
      <c r="AC185" s="6">
        <v>38.200000000000003</v>
      </c>
      <c r="AD185" s="6">
        <v>38</v>
      </c>
      <c r="AE185" s="56">
        <f t="shared" si="25"/>
        <v>38.1</v>
      </c>
      <c r="AF185" s="14" t="s">
        <v>257</v>
      </c>
      <c r="AG185" s="14" t="s">
        <v>360</v>
      </c>
      <c r="AH185" s="14" t="s">
        <v>258</v>
      </c>
      <c r="AI185" s="14" t="s">
        <v>259</v>
      </c>
      <c r="AJ185" s="14" t="s">
        <v>260</v>
      </c>
      <c r="AK185" s="14" t="s">
        <v>261</v>
      </c>
      <c r="AM185" s="11" t="s">
        <v>257</v>
      </c>
      <c r="AN185" s="11" t="s">
        <v>261</v>
      </c>
      <c r="AP185" s="1" t="s">
        <v>360</v>
      </c>
      <c r="AQ185" s="1" t="s">
        <v>258</v>
      </c>
      <c r="AR185" s="6">
        <v>5</v>
      </c>
      <c r="AS185" s="6" t="s">
        <v>259</v>
      </c>
      <c r="AT185" s="6" t="s">
        <v>260</v>
      </c>
      <c r="AU185" s="6">
        <v>5</v>
      </c>
      <c r="AV185" s="36"/>
      <c r="AW185" s="36"/>
      <c r="AX185" s="36"/>
      <c r="AY185" s="36"/>
      <c r="AZ185" s="36"/>
      <c r="BB185" s="24" t="s">
        <v>1037</v>
      </c>
      <c r="BC185" s="24" t="str">
        <f t="shared" si="20"/>
        <v>Not Obese</v>
      </c>
      <c r="BE185" s="29" t="s">
        <v>1038</v>
      </c>
      <c r="BF185" s="29"/>
      <c r="BG185" s="29"/>
      <c r="BH185" s="29"/>
      <c r="BI185" s="29"/>
      <c r="BJ185" s="29"/>
      <c r="BK185" s="29"/>
    </row>
    <row r="186" spans="1:63" ht="18.75" customHeight="1">
      <c r="A186" s="29" t="s">
        <v>1039</v>
      </c>
      <c r="B186" s="8">
        <v>45628</v>
      </c>
      <c r="C186" s="1" t="s">
        <v>62</v>
      </c>
      <c r="D186" s="6">
        <v>25</v>
      </c>
      <c r="G186" s="6" t="s">
        <v>85</v>
      </c>
      <c r="H186" s="33" t="str">
        <f t="shared" si="21"/>
        <v>Yes</v>
      </c>
      <c r="I186" s="33">
        <v>76.8</v>
      </c>
      <c r="J186" s="6">
        <v>41</v>
      </c>
      <c r="K186" s="6">
        <v>11</v>
      </c>
      <c r="L186" s="6">
        <v>1469</v>
      </c>
      <c r="M186" s="6">
        <v>21.4</v>
      </c>
      <c r="N186" s="6">
        <v>18.7</v>
      </c>
      <c r="O186" s="6">
        <v>15</v>
      </c>
      <c r="P186" s="6">
        <v>34.5</v>
      </c>
      <c r="Q186" s="6">
        <v>35.299999999999997</v>
      </c>
      <c r="R186" s="6">
        <v>55</v>
      </c>
      <c r="S186" s="6">
        <v>32.1</v>
      </c>
      <c r="T186" s="6">
        <v>49.8</v>
      </c>
      <c r="U186" s="6">
        <v>28.2</v>
      </c>
      <c r="V186" s="6">
        <v>69</v>
      </c>
      <c r="W186" s="6">
        <v>48</v>
      </c>
      <c r="X186" s="6">
        <v>46.8</v>
      </c>
      <c r="Y186" s="56">
        <f t="shared" si="27"/>
        <v>47.4</v>
      </c>
      <c r="Z186" s="6">
        <v>54</v>
      </c>
      <c r="AA186" s="6">
        <v>53.5</v>
      </c>
      <c r="AB186" s="56">
        <f t="shared" si="26"/>
        <v>53.75</v>
      </c>
      <c r="AC186" s="6">
        <v>45.4</v>
      </c>
      <c r="AD186" s="6">
        <v>46.2</v>
      </c>
      <c r="AE186" s="56">
        <f t="shared" si="25"/>
        <v>45.8</v>
      </c>
      <c r="AF186" s="14" t="s">
        <v>363</v>
      </c>
      <c r="AG186" s="14" t="s">
        <v>130</v>
      </c>
      <c r="AH186" s="14" t="s">
        <v>433</v>
      </c>
      <c r="AI186" s="14" t="s">
        <v>132</v>
      </c>
      <c r="AJ186" s="14" t="s">
        <v>749</v>
      </c>
      <c r="AK186" s="14" t="s">
        <v>285</v>
      </c>
      <c r="AM186" s="11" t="s">
        <v>363</v>
      </c>
      <c r="AN186" s="11" t="s">
        <v>285</v>
      </c>
      <c r="AP186" s="1" t="s">
        <v>130</v>
      </c>
      <c r="AQ186" s="1" t="s">
        <v>433</v>
      </c>
      <c r="AR186" s="6">
        <v>6</v>
      </c>
      <c r="AS186" s="6" t="s">
        <v>132</v>
      </c>
      <c r="AT186" s="6" t="s">
        <v>749</v>
      </c>
      <c r="AU186" s="6">
        <v>5</v>
      </c>
      <c r="AV186" s="36"/>
      <c r="AW186" s="36"/>
      <c r="AX186" s="36"/>
      <c r="AY186" s="26"/>
      <c r="AZ186" s="36"/>
      <c r="BC186" s="24" t="str">
        <f t="shared" si="20"/>
        <v>Obese</v>
      </c>
      <c r="BE186" s="1" t="s">
        <v>1040</v>
      </c>
    </row>
    <row r="187" spans="1:63" ht="18.75" customHeight="1">
      <c r="A187" s="29" t="s">
        <v>1041</v>
      </c>
      <c r="B187" s="8">
        <v>45628</v>
      </c>
      <c r="C187" s="1" t="s">
        <v>84</v>
      </c>
      <c r="D187" s="6">
        <v>31</v>
      </c>
      <c r="G187" s="6" t="s">
        <v>85</v>
      </c>
      <c r="H187" s="33" t="str">
        <f t="shared" si="21"/>
        <v>No</v>
      </c>
      <c r="I187" s="33">
        <v>49.7</v>
      </c>
      <c r="J187" s="6">
        <v>28.8</v>
      </c>
      <c r="K187" s="6">
        <v>3</v>
      </c>
      <c r="L187" s="6">
        <v>1114</v>
      </c>
      <c r="M187" s="6">
        <v>25.3</v>
      </c>
      <c r="N187" s="6">
        <v>29.1</v>
      </c>
      <c r="O187" s="6">
        <v>19.899999999999999</v>
      </c>
      <c r="P187" s="6">
        <v>36.700000000000003</v>
      </c>
      <c r="Q187" s="6">
        <v>22.6</v>
      </c>
      <c r="R187" s="6">
        <v>38.9</v>
      </c>
      <c r="S187" s="6">
        <v>19.399999999999999</v>
      </c>
      <c r="T187" s="6">
        <v>31.2</v>
      </c>
      <c r="U187" s="6">
        <v>19.2</v>
      </c>
      <c r="V187" s="6">
        <v>47</v>
      </c>
      <c r="W187" s="6">
        <v>37.200000000000003</v>
      </c>
      <c r="X187" s="6">
        <v>36.200000000000003</v>
      </c>
      <c r="Y187" s="56">
        <f t="shared" si="27"/>
        <v>36.700000000000003</v>
      </c>
      <c r="Z187" s="6">
        <v>44.5</v>
      </c>
      <c r="AA187" s="6">
        <v>44.4</v>
      </c>
      <c r="AB187" s="56">
        <f t="shared" si="26"/>
        <v>44.45</v>
      </c>
      <c r="AC187" s="6">
        <v>45.8</v>
      </c>
      <c r="AD187" s="6">
        <v>46.1</v>
      </c>
      <c r="AE187" s="56">
        <f t="shared" si="25"/>
        <v>45.95</v>
      </c>
      <c r="AF187" s="14" t="s">
        <v>1042</v>
      </c>
      <c r="AG187" s="14" t="s">
        <v>778</v>
      </c>
      <c r="AH187" s="14" t="s">
        <v>646</v>
      </c>
      <c r="AI187" s="14" t="s">
        <v>1043</v>
      </c>
      <c r="AJ187" s="14" t="s">
        <v>250</v>
      </c>
      <c r="AK187" s="14" t="s">
        <v>1044</v>
      </c>
      <c r="AM187" s="11" t="s">
        <v>1042</v>
      </c>
      <c r="AN187" s="11" t="s">
        <v>1044</v>
      </c>
      <c r="AP187" s="1" t="s">
        <v>778</v>
      </c>
      <c r="AQ187" s="1" t="s">
        <v>646</v>
      </c>
      <c r="AR187" s="6">
        <v>6</v>
      </c>
      <c r="AS187" s="6" t="s">
        <v>757</v>
      </c>
      <c r="AT187" s="6" t="s">
        <v>250</v>
      </c>
      <c r="AU187" s="6">
        <v>5</v>
      </c>
      <c r="AV187" s="36"/>
      <c r="AW187" s="36"/>
      <c r="AX187" s="36"/>
      <c r="AY187" s="36"/>
      <c r="AZ187" s="36"/>
      <c r="BB187" s="24" t="s">
        <v>1045</v>
      </c>
      <c r="BC187" s="24" t="str">
        <f t="shared" si="20"/>
        <v>Not Obese</v>
      </c>
      <c r="BE187" s="1" t="s">
        <v>1046</v>
      </c>
    </row>
    <row r="188" spans="1:63" ht="18.75" customHeight="1">
      <c r="A188" s="29" t="s">
        <v>1047</v>
      </c>
      <c r="B188" s="8">
        <v>45628</v>
      </c>
      <c r="C188" s="1" t="s">
        <v>75</v>
      </c>
      <c r="D188" s="6">
        <v>31</v>
      </c>
      <c r="G188" s="6" t="s">
        <v>63</v>
      </c>
      <c r="H188" s="33" t="str">
        <f t="shared" si="21"/>
        <v>Yes</v>
      </c>
      <c r="I188" s="33">
        <v>78.5</v>
      </c>
      <c r="J188" s="6">
        <v>30</v>
      </c>
      <c r="K188" s="6">
        <v>16</v>
      </c>
      <c r="L188" s="6">
        <v>1691</v>
      </c>
      <c r="M188" s="6">
        <v>27.9</v>
      </c>
      <c r="N188" s="6">
        <v>34.200000000000003</v>
      </c>
      <c r="O188" s="6">
        <v>20.100000000000001</v>
      </c>
      <c r="P188" s="6">
        <v>45.3</v>
      </c>
      <c r="Q188" s="6">
        <v>20.9</v>
      </c>
      <c r="R188" s="6">
        <v>27.1</v>
      </c>
      <c r="S188" s="6">
        <v>19</v>
      </c>
      <c r="T188" s="6">
        <v>27.7</v>
      </c>
      <c r="U188" s="6">
        <v>27.5</v>
      </c>
      <c r="V188" s="6">
        <v>62</v>
      </c>
      <c r="W188" s="6">
        <v>40.6</v>
      </c>
      <c r="X188" s="6">
        <v>41.5</v>
      </c>
      <c r="Y188" s="56">
        <f t="shared" si="27"/>
        <v>41.05</v>
      </c>
      <c r="Z188" s="6">
        <v>47.2</v>
      </c>
      <c r="AA188" s="6">
        <v>47.6</v>
      </c>
      <c r="AB188" s="56">
        <f t="shared" si="26"/>
        <v>47.400000000000006</v>
      </c>
      <c r="AC188" s="6">
        <v>47.5</v>
      </c>
      <c r="AD188" s="6">
        <v>48.4</v>
      </c>
      <c r="AE188" s="56">
        <f t="shared" si="25"/>
        <v>47.95</v>
      </c>
      <c r="AF188" s="14" t="s">
        <v>1042</v>
      </c>
      <c r="AG188" s="14" t="s">
        <v>1048</v>
      </c>
      <c r="AH188" s="14" t="s">
        <v>249</v>
      </c>
      <c r="AI188" s="14" t="s">
        <v>1043</v>
      </c>
      <c r="AJ188" s="14" t="s">
        <v>250</v>
      </c>
      <c r="AK188" s="14" t="s">
        <v>1044</v>
      </c>
      <c r="AM188" s="11" t="s">
        <v>1042</v>
      </c>
      <c r="AN188" s="11" t="s">
        <v>1044</v>
      </c>
      <c r="AP188" s="1" t="s">
        <v>1048</v>
      </c>
      <c r="AQ188" s="1" t="s">
        <v>646</v>
      </c>
      <c r="AR188" s="6">
        <v>5</v>
      </c>
      <c r="AS188" s="6" t="s">
        <v>1043</v>
      </c>
      <c r="AT188" s="6" t="s">
        <v>250</v>
      </c>
      <c r="AU188" s="6">
        <v>5</v>
      </c>
      <c r="AV188" s="36"/>
      <c r="AW188" s="36"/>
      <c r="AX188" s="36"/>
      <c r="AY188" s="36"/>
      <c r="AZ188" s="36"/>
      <c r="BB188" s="24" t="s">
        <v>1049</v>
      </c>
      <c r="BC188" s="24" t="str">
        <f t="shared" si="20"/>
        <v>Obese</v>
      </c>
      <c r="BE188" s="29" t="s">
        <v>1050</v>
      </c>
      <c r="BF188" s="29"/>
      <c r="BG188" s="29"/>
      <c r="BH188" s="29"/>
      <c r="BI188" s="29"/>
      <c r="BJ188" s="29"/>
      <c r="BK188" s="29"/>
    </row>
    <row r="189" spans="1:63" ht="18.75" customHeight="1">
      <c r="A189" s="29" t="s">
        <v>1051</v>
      </c>
      <c r="B189" s="8">
        <v>45632</v>
      </c>
      <c r="C189" s="1" t="s">
        <v>75</v>
      </c>
      <c r="D189" s="6">
        <v>19</v>
      </c>
      <c r="G189" s="6" t="s">
        <v>63</v>
      </c>
      <c r="H189" s="33" t="str">
        <f t="shared" si="21"/>
        <v>No</v>
      </c>
      <c r="I189" s="33">
        <v>53.2</v>
      </c>
      <c r="J189" s="6">
        <v>10.8</v>
      </c>
      <c r="K189" s="6">
        <v>3.5</v>
      </c>
      <c r="L189" s="6">
        <v>1369</v>
      </c>
      <c r="M189" s="6">
        <v>35.1</v>
      </c>
      <c r="N189" s="6">
        <v>40.700000000000003</v>
      </c>
      <c r="O189" s="6">
        <v>31</v>
      </c>
      <c r="P189" s="6">
        <v>52.3</v>
      </c>
      <c r="Q189" s="6">
        <v>7.6</v>
      </c>
      <c r="R189" s="6">
        <v>11.3</v>
      </c>
      <c r="S189" s="6">
        <v>6.2</v>
      </c>
      <c r="T189" s="6">
        <v>10.1</v>
      </c>
      <c r="U189" s="6">
        <v>19.3</v>
      </c>
      <c r="V189" s="6">
        <v>28</v>
      </c>
      <c r="W189" s="6">
        <v>36.1</v>
      </c>
      <c r="X189" s="6">
        <v>36.4</v>
      </c>
      <c r="Y189" s="56">
        <f t="shared" si="27"/>
        <v>36.25</v>
      </c>
      <c r="Z189" s="6">
        <v>46.3</v>
      </c>
      <c r="AA189" s="6">
        <v>46.5</v>
      </c>
      <c r="AB189" s="56">
        <f t="shared" si="26"/>
        <v>46.4</v>
      </c>
      <c r="AC189" s="6">
        <v>51.2</v>
      </c>
      <c r="AD189" s="6">
        <v>51.5</v>
      </c>
      <c r="AE189" s="56">
        <f t="shared" si="25"/>
        <v>51.35</v>
      </c>
      <c r="AF189" s="14" t="s">
        <v>119</v>
      </c>
      <c r="AG189" s="14" t="s">
        <v>202</v>
      </c>
      <c r="AH189" s="14" t="s">
        <v>65</v>
      </c>
      <c r="AI189" s="14" t="s">
        <v>736</v>
      </c>
      <c r="AJ189" s="14" t="s">
        <v>67</v>
      </c>
      <c r="AK189" s="14" t="s">
        <v>90</v>
      </c>
      <c r="AM189" s="11" t="s">
        <v>119</v>
      </c>
      <c r="AN189" s="11" t="s">
        <v>90</v>
      </c>
      <c r="AO189" s="1" t="s">
        <v>1052</v>
      </c>
      <c r="AP189" s="1" t="s">
        <v>202</v>
      </c>
      <c r="AQ189" s="1" t="s">
        <v>65</v>
      </c>
      <c r="AR189" s="6">
        <v>6</v>
      </c>
      <c r="AS189" s="6" t="s">
        <v>736</v>
      </c>
      <c r="AT189" s="6" t="s">
        <v>67</v>
      </c>
      <c r="AU189" s="6">
        <v>5</v>
      </c>
      <c r="AV189" s="36"/>
      <c r="AW189" s="36"/>
      <c r="AX189" s="36"/>
      <c r="AY189" s="36"/>
      <c r="AZ189" s="36"/>
      <c r="BB189" s="24" t="s">
        <v>1053</v>
      </c>
      <c r="BC189" s="24" t="str">
        <f t="shared" si="20"/>
        <v>Not Obese</v>
      </c>
      <c r="BE189" s="29" t="s">
        <v>1054</v>
      </c>
      <c r="BF189" s="29"/>
      <c r="BG189" s="29"/>
      <c r="BH189" s="29"/>
      <c r="BI189" s="29"/>
      <c r="BJ189" s="29"/>
      <c r="BK189" s="29"/>
    </row>
    <row r="190" spans="1:63" ht="18.75" customHeight="1">
      <c r="A190" s="29" t="s">
        <v>1055</v>
      </c>
      <c r="B190" s="8">
        <v>45633</v>
      </c>
      <c r="C190" s="1" t="s">
        <v>117</v>
      </c>
      <c r="D190" s="6">
        <v>32</v>
      </c>
      <c r="G190" s="6" t="s">
        <v>63</v>
      </c>
      <c r="H190" s="33" t="str">
        <f t="shared" si="21"/>
        <v>No</v>
      </c>
      <c r="I190" s="33">
        <v>56.2</v>
      </c>
      <c r="J190" s="6">
        <v>13.7</v>
      </c>
      <c r="K190" s="6">
        <v>1</v>
      </c>
      <c r="L190" s="6">
        <v>1417</v>
      </c>
      <c r="M190" s="6">
        <v>35.799999999999997</v>
      </c>
      <c r="N190" s="6">
        <v>41.4</v>
      </c>
      <c r="O190" s="6">
        <v>30.7</v>
      </c>
      <c r="P190" s="6">
        <v>53</v>
      </c>
      <c r="Q190" s="6">
        <v>9.1</v>
      </c>
      <c r="R190" s="6">
        <v>14.1</v>
      </c>
      <c r="S190" s="6">
        <v>7.4</v>
      </c>
      <c r="T190" s="6">
        <v>13.1</v>
      </c>
      <c r="U190" s="6">
        <v>17.3</v>
      </c>
      <c r="V190" s="6">
        <v>21</v>
      </c>
      <c r="W190" s="6">
        <v>35.200000000000003</v>
      </c>
      <c r="X190" s="6">
        <v>35.799999999999997</v>
      </c>
      <c r="Y190" s="56">
        <f t="shared" si="27"/>
        <v>35.5</v>
      </c>
      <c r="Z190" s="6">
        <v>48.5</v>
      </c>
      <c r="AA190" s="6">
        <v>49.3</v>
      </c>
      <c r="AB190" s="56">
        <f t="shared" si="26"/>
        <v>48.9</v>
      </c>
      <c r="AC190" s="6">
        <v>49.7</v>
      </c>
      <c r="AD190" s="6">
        <v>49.6</v>
      </c>
      <c r="AE190" s="56">
        <f t="shared" si="25"/>
        <v>49.650000000000006</v>
      </c>
      <c r="AF190" s="14" t="s">
        <v>806</v>
      </c>
      <c r="AG190" s="14" t="s">
        <v>380</v>
      </c>
      <c r="AH190" s="14" t="s">
        <v>189</v>
      </c>
      <c r="AI190" s="14" t="s">
        <v>641</v>
      </c>
      <c r="AJ190" s="14" t="s">
        <v>198</v>
      </c>
      <c r="AK190" s="14" t="s">
        <v>807</v>
      </c>
      <c r="AM190" s="11" t="s">
        <v>806</v>
      </c>
      <c r="AN190" s="11" t="s">
        <v>807</v>
      </c>
      <c r="AP190" s="1" t="s">
        <v>380</v>
      </c>
      <c r="AQ190" s="1" t="s">
        <v>189</v>
      </c>
      <c r="AR190" s="6">
        <v>5</v>
      </c>
      <c r="AS190" s="6" t="s">
        <v>641</v>
      </c>
      <c r="AT190" s="6" t="s">
        <v>198</v>
      </c>
      <c r="AU190" s="6">
        <v>5</v>
      </c>
      <c r="AV190" s="36"/>
      <c r="AW190" s="36"/>
      <c r="AX190" s="36"/>
      <c r="AY190" s="36"/>
      <c r="AZ190" s="36"/>
      <c r="BB190" s="24" t="s">
        <v>1056</v>
      </c>
      <c r="BC190" s="24" t="str">
        <f t="shared" si="20"/>
        <v>Not Obese</v>
      </c>
      <c r="BE190" s="29" t="s">
        <v>1057</v>
      </c>
      <c r="BF190" s="29"/>
      <c r="BG190" s="29"/>
      <c r="BH190" s="29"/>
      <c r="BI190" s="29"/>
      <c r="BJ190" s="29"/>
      <c r="BK190" s="29"/>
    </row>
    <row r="191" spans="1:63" ht="18.75" customHeight="1">
      <c r="A191" s="29" t="s">
        <v>1058</v>
      </c>
      <c r="B191" s="8">
        <v>45633</v>
      </c>
      <c r="C191" s="1" t="s">
        <v>84</v>
      </c>
      <c r="D191" s="137">
        <v>26</v>
      </c>
      <c r="E191" s="137">
        <v>30</v>
      </c>
      <c r="F191" s="137">
        <v>26</v>
      </c>
      <c r="G191" s="6" t="s">
        <v>63</v>
      </c>
      <c r="H191" s="33" t="str">
        <f t="shared" si="21"/>
        <v>Yes</v>
      </c>
      <c r="I191" s="33">
        <v>84.8</v>
      </c>
      <c r="J191" s="6">
        <v>27.3</v>
      </c>
      <c r="K191" s="6">
        <v>14.5</v>
      </c>
      <c r="L191" s="6">
        <v>1816</v>
      </c>
      <c r="M191" s="6">
        <v>30.3</v>
      </c>
      <c r="N191" s="6">
        <v>35.4</v>
      </c>
      <c r="O191" s="6">
        <v>22.6</v>
      </c>
      <c r="P191" s="6">
        <v>47.6</v>
      </c>
      <c r="Q191" s="6">
        <v>19.2</v>
      </c>
      <c r="R191" s="6">
        <v>24.1</v>
      </c>
      <c r="S191" s="6">
        <v>17.5</v>
      </c>
      <c r="T191" s="6">
        <v>24.5</v>
      </c>
      <c r="U191" s="6">
        <v>27.4</v>
      </c>
      <c r="V191" s="6">
        <v>59</v>
      </c>
      <c r="W191" s="6">
        <v>41.7</v>
      </c>
      <c r="X191" s="6">
        <v>42.5</v>
      </c>
      <c r="Y191" s="56">
        <f t="shared" si="27"/>
        <v>42.1</v>
      </c>
      <c r="Z191" s="6">
        <v>48.6</v>
      </c>
      <c r="AA191" s="6">
        <v>48.8</v>
      </c>
      <c r="AB191" s="56">
        <f t="shared" si="26"/>
        <v>48.7</v>
      </c>
      <c r="AC191" s="6">
        <v>49.4</v>
      </c>
      <c r="AD191" s="6">
        <v>48.1</v>
      </c>
      <c r="AE191" s="56">
        <f t="shared" si="25"/>
        <v>48.75</v>
      </c>
      <c r="AF191" s="14" t="s">
        <v>330</v>
      </c>
      <c r="AG191" s="14" t="s">
        <v>189</v>
      </c>
      <c r="AH191" s="14" t="s">
        <v>409</v>
      </c>
      <c r="AI191" s="14" t="s">
        <v>316</v>
      </c>
      <c r="AJ191" s="14" t="s">
        <v>214</v>
      </c>
      <c r="AK191" s="14" t="s">
        <v>410</v>
      </c>
      <c r="AM191" s="11" t="s">
        <v>330</v>
      </c>
      <c r="AN191" s="11" t="s">
        <v>410</v>
      </c>
      <c r="AP191" s="1" t="s">
        <v>315</v>
      </c>
      <c r="AQ191" s="1" t="s">
        <v>409</v>
      </c>
      <c r="AR191" s="6">
        <v>6</v>
      </c>
      <c r="AS191" s="6" t="s">
        <v>316</v>
      </c>
      <c r="AT191" s="6" t="s">
        <v>214</v>
      </c>
      <c r="AU191" s="6">
        <v>5</v>
      </c>
      <c r="AV191" s="36"/>
      <c r="AW191" s="36"/>
      <c r="AX191" s="36"/>
      <c r="AY191" s="36"/>
      <c r="AZ191" s="36"/>
      <c r="BB191" s="24" t="s">
        <v>1059</v>
      </c>
      <c r="BC191" s="24" t="str">
        <f t="shared" si="20"/>
        <v>Obese</v>
      </c>
      <c r="BE191" s="29" t="s">
        <v>1060</v>
      </c>
      <c r="BF191" s="29"/>
      <c r="BG191" s="29"/>
      <c r="BH191" s="29"/>
      <c r="BI191" s="29"/>
      <c r="BJ191" s="29"/>
      <c r="BK191" s="29"/>
    </row>
    <row r="192" spans="1:63" ht="18.75" customHeight="1">
      <c r="A192" s="29" t="s">
        <v>1061</v>
      </c>
      <c r="B192" s="8">
        <v>45633</v>
      </c>
      <c r="C192" s="1" t="s">
        <v>75</v>
      </c>
      <c r="D192" s="6">
        <v>27</v>
      </c>
      <c r="G192" s="6" t="s">
        <v>85</v>
      </c>
      <c r="H192" s="33" t="str">
        <f t="shared" si="21"/>
        <v>Yes</v>
      </c>
      <c r="I192" s="33">
        <v>54.7</v>
      </c>
      <c r="J192" s="6">
        <v>33.200000000000003</v>
      </c>
      <c r="K192" s="6">
        <v>3.5</v>
      </c>
      <c r="L192" s="6">
        <v>1176</v>
      </c>
      <c r="M192" s="6">
        <v>24.1</v>
      </c>
      <c r="N192" s="6">
        <v>26.6</v>
      </c>
      <c r="O192" s="6">
        <v>18.8</v>
      </c>
      <c r="P192" s="6">
        <v>35.6</v>
      </c>
      <c r="Q192" s="6">
        <v>25.8</v>
      </c>
      <c r="R192" s="6">
        <v>45.1</v>
      </c>
      <c r="S192" s="6">
        <v>23.1</v>
      </c>
      <c r="T192" s="6">
        <v>37.200000000000003</v>
      </c>
      <c r="U192" s="6">
        <v>20.6</v>
      </c>
      <c r="V192" s="6">
        <v>47</v>
      </c>
      <c r="W192" s="6">
        <v>39.6</v>
      </c>
      <c r="X192" s="6">
        <v>39.4</v>
      </c>
      <c r="Y192" s="56">
        <f t="shared" si="27"/>
        <v>39.5</v>
      </c>
      <c r="Z192" s="6">
        <v>44.8</v>
      </c>
      <c r="AA192" s="6">
        <v>45.1</v>
      </c>
      <c r="AB192" s="56">
        <f t="shared" si="26"/>
        <v>44.95</v>
      </c>
      <c r="AC192" s="6">
        <v>46.4</v>
      </c>
      <c r="AD192" s="6">
        <v>44.2</v>
      </c>
      <c r="AE192" s="56">
        <f t="shared" si="25"/>
        <v>45.3</v>
      </c>
      <c r="AF192" s="14" t="s">
        <v>220</v>
      </c>
      <c r="AG192" s="14" t="s">
        <v>397</v>
      </c>
      <c r="AH192" s="14" t="s">
        <v>129</v>
      </c>
      <c r="AI192" s="14" t="s">
        <v>192</v>
      </c>
      <c r="AJ192" s="14" t="s">
        <v>131</v>
      </c>
      <c r="AK192" s="14" t="s">
        <v>591</v>
      </c>
      <c r="AL192" s="20" t="s">
        <v>1062</v>
      </c>
      <c r="AM192" s="11" t="s">
        <v>220</v>
      </c>
      <c r="AN192" s="11" t="s">
        <v>591</v>
      </c>
      <c r="AP192" s="1" t="s">
        <v>397</v>
      </c>
      <c r="AQ192" s="1" t="s">
        <v>129</v>
      </c>
      <c r="AR192" s="6">
        <v>5</v>
      </c>
      <c r="AS192" s="6" t="s">
        <v>192</v>
      </c>
      <c r="AT192" s="6" t="s">
        <v>131</v>
      </c>
      <c r="AU192" s="6">
        <v>5</v>
      </c>
      <c r="AV192" s="36"/>
      <c r="AW192" s="36"/>
      <c r="AX192" s="36"/>
      <c r="AY192" s="36"/>
      <c r="AZ192" s="36"/>
      <c r="BB192" s="24" t="s">
        <v>1063</v>
      </c>
      <c r="BC192" s="24" t="str">
        <f t="shared" si="20"/>
        <v>Not Obese</v>
      </c>
      <c r="BE192" s="29" t="s">
        <v>1064</v>
      </c>
      <c r="BF192" s="29"/>
      <c r="BG192" s="29"/>
      <c r="BH192" s="29"/>
      <c r="BI192" s="29"/>
      <c r="BJ192" s="29"/>
      <c r="BK192" s="29"/>
    </row>
    <row r="193" spans="1:63" ht="18.75" customHeight="1">
      <c r="A193" s="29" t="s">
        <v>1065</v>
      </c>
      <c r="B193" s="8">
        <v>45635</v>
      </c>
      <c r="C193" s="1" t="s">
        <v>117</v>
      </c>
      <c r="D193" s="6">
        <v>31</v>
      </c>
      <c r="G193" s="6" t="s">
        <v>63</v>
      </c>
      <c r="H193" s="33" t="str">
        <f t="shared" si="21"/>
        <v>No</v>
      </c>
      <c r="I193" s="33">
        <v>63.9</v>
      </c>
      <c r="J193" s="6">
        <v>19.2</v>
      </c>
      <c r="K193" s="6">
        <v>7</v>
      </c>
      <c r="L193" s="6">
        <v>1516</v>
      </c>
      <c r="M193" s="6">
        <v>32.6</v>
      </c>
      <c r="N193" s="6">
        <v>37.4</v>
      </c>
      <c r="O193" s="6">
        <v>26.7</v>
      </c>
      <c r="P193" s="6">
        <v>49.9</v>
      </c>
      <c r="Q193" s="6">
        <v>13.2</v>
      </c>
      <c r="R193" s="6">
        <v>17.7</v>
      </c>
      <c r="S193" s="6">
        <v>11.5</v>
      </c>
      <c r="T193" s="6">
        <v>17.3</v>
      </c>
      <c r="U193" s="6">
        <v>21.6</v>
      </c>
      <c r="V193" s="6">
        <v>41</v>
      </c>
      <c r="W193" s="6">
        <v>37.9</v>
      </c>
      <c r="X193" s="6">
        <v>37.700000000000003</v>
      </c>
      <c r="Y193" s="56">
        <f t="shared" si="27"/>
        <v>37.799999999999997</v>
      </c>
      <c r="Z193" s="6">
        <v>47.2</v>
      </c>
      <c r="AA193" s="6">
        <v>48</v>
      </c>
      <c r="AB193" s="56">
        <f t="shared" si="26"/>
        <v>47.6</v>
      </c>
      <c r="AC193" s="6">
        <v>48</v>
      </c>
      <c r="AD193" s="6">
        <v>47.7</v>
      </c>
      <c r="AE193" s="56">
        <f t="shared" si="25"/>
        <v>47.85</v>
      </c>
      <c r="AF193" s="14" t="s">
        <v>391</v>
      </c>
      <c r="AG193" s="14" t="s">
        <v>380</v>
      </c>
      <c r="AH193" s="14" t="s">
        <v>315</v>
      </c>
      <c r="AI193" s="14" t="s">
        <v>174</v>
      </c>
      <c r="AJ193" s="14" t="s">
        <v>398</v>
      </c>
      <c r="AK193" s="14" t="s">
        <v>924</v>
      </c>
      <c r="AM193" s="11" t="s">
        <v>391</v>
      </c>
      <c r="AN193" s="11" t="s">
        <v>924</v>
      </c>
      <c r="AP193" s="1" t="s">
        <v>380</v>
      </c>
      <c r="AQ193" s="1" t="s">
        <v>315</v>
      </c>
      <c r="AR193" s="6">
        <v>6</v>
      </c>
      <c r="AS193" s="6" t="s">
        <v>174</v>
      </c>
      <c r="AT193" s="6" t="s">
        <v>398</v>
      </c>
      <c r="AU193" s="6">
        <v>5</v>
      </c>
      <c r="AV193" s="36"/>
      <c r="AW193" s="36"/>
      <c r="AX193" s="36"/>
      <c r="AY193" s="36"/>
      <c r="AZ193" s="36"/>
      <c r="BB193" s="24" t="s">
        <v>1066</v>
      </c>
      <c r="BC193" s="24" t="str">
        <f t="shared" si="20"/>
        <v>Not Obese</v>
      </c>
      <c r="BE193" s="29" t="s">
        <v>1067</v>
      </c>
      <c r="BF193" s="29"/>
      <c r="BG193" s="29"/>
      <c r="BH193" s="29"/>
      <c r="BI193" s="29"/>
      <c r="BJ193" s="29"/>
      <c r="BK193" s="29"/>
    </row>
    <row r="194" spans="1:63" ht="18.75" customHeight="1">
      <c r="A194" s="29" t="s">
        <v>1068</v>
      </c>
      <c r="B194" s="8">
        <v>45635</v>
      </c>
      <c r="C194" s="1" t="s">
        <v>84</v>
      </c>
      <c r="D194" s="6">
        <v>25</v>
      </c>
      <c r="G194" s="6" t="s">
        <v>63</v>
      </c>
      <c r="H194" s="33" t="str">
        <f t="shared" si="21"/>
        <v>Yes</v>
      </c>
      <c r="I194" s="33">
        <v>78</v>
      </c>
      <c r="J194" s="6">
        <v>27</v>
      </c>
      <c r="K194" s="6">
        <v>12</v>
      </c>
      <c r="L194" s="6">
        <v>1708</v>
      </c>
      <c r="M194" s="6">
        <v>30.2</v>
      </c>
      <c r="N194" s="6">
        <v>35.6</v>
      </c>
      <c r="O194" s="6">
        <v>22.7</v>
      </c>
      <c r="P194" s="6">
        <v>47.5</v>
      </c>
      <c r="Q194" s="6">
        <v>18.600000000000001</v>
      </c>
      <c r="R194" s="6">
        <v>24.9</v>
      </c>
      <c r="S194" s="6">
        <v>16.8</v>
      </c>
      <c r="T194" s="6">
        <v>25.1</v>
      </c>
      <c r="U194" s="6">
        <v>25.5</v>
      </c>
      <c r="V194" s="6">
        <v>53</v>
      </c>
      <c r="W194" s="6">
        <v>38.4</v>
      </c>
      <c r="X194" s="6">
        <v>39</v>
      </c>
      <c r="Y194" s="56">
        <f t="shared" si="27"/>
        <v>38.700000000000003</v>
      </c>
      <c r="Z194" s="6">
        <v>46.2</v>
      </c>
      <c r="AA194" s="6">
        <v>46</v>
      </c>
      <c r="AB194" s="56">
        <f t="shared" si="26"/>
        <v>46.1</v>
      </c>
      <c r="AC194" s="6">
        <v>49.6</v>
      </c>
      <c r="AD194" s="6">
        <v>49.3</v>
      </c>
      <c r="AE194" s="56">
        <f t="shared" si="25"/>
        <v>49.45</v>
      </c>
      <c r="AF194" s="14" t="s">
        <v>128</v>
      </c>
      <c r="AG194" s="14" t="s">
        <v>307</v>
      </c>
      <c r="AH194" s="14" t="s">
        <v>130</v>
      </c>
      <c r="AI194" s="14" t="s">
        <v>131</v>
      </c>
      <c r="AJ194" s="14" t="s">
        <v>311</v>
      </c>
      <c r="AK194" s="14" t="s">
        <v>414</v>
      </c>
      <c r="AM194" s="11" t="s">
        <v>128</v>
      </c>
      <c r="AN194" s="11" t="s">
        <v>414</v>
      </c>
      <c r="AP194" s="1" t="s">
        <v>221</v>
      </c>
      <c r="AQ194" s="1" t="s">
        <v>130</v>
      </c>
      <c r="AR194" s="6">
        <v>5</v>
      </c>
      <c r="AS194" s="6" t="s">
        <v>131</v>
      </c>
      <c r="AT194" s="6" t="s">
        <v>311</v>
      </c>
      <c r="AU194" s="6">
        <v>5</v>
      </c>
      <c r="AV194" s="36"/>
      <c r="AW194" s="36"/>
      <c r="AX194" s="36"/>
      <c r="AY194" s="36"/>
      <c r="AZ194" s="36"/>
      <c r="BB194" s="24" t="s">
        <v>1069</v>
      </c>
      <c r="BC194" s="24" t="str">
        <f t="shared" si="20"/>
        <v>Obese</v>
      </c>
      <c r="BE194" s="29" t="s">
        <v>1070</v>
      </c>
      <c r="BF194" s="29"/>
      <c r="BG194" s="29"/>
      <c r="BH194" s="29"/>
      <c r="BI194" s="29"/>
      <c r="BJ194" s="29"/>
      <c r="BK194" s="29"/>
    </row>
    <row r="195" spans="1:63" ht="18.75" customHeight="1">
      <c r="A195" s="29" t="s">
        <v>1071</v>
      </c>
      <c r="B195" s="8">
        <v>45635</v>
      </c>
      <c r="C195" s="1" t="s">
        <v>75</v>
      </c>
      <c r="D195" s="6">
        <v>32</v>
      </c>
      <c r="G195" s="6" t="s">
        <v>63</v>
      </c>
      <c r="H195" s="33" t="str">
        <f t="shared" si="21"/>
        <v>No</v>
      </c>
      <c r="I195" s="33">
        <v>67</v>
      </c>
      <c r="J195" s="6">
        <v>23.1</v>
      </c>
      <c r="K195" s="6">
        <v>9</v>
      </c>
      <c r="L195" s="6">
        <v>1549</v>
      </c>
      <c r="M195" s="6">
        <v>31.2</v>
      </c>
      <c r="N195" s="6">
        <v>37.299999999999997</v>
      </c>
      <c r="O195" s="6">
        <v>24.6</v>
      </c>
      <c r="P195" s="6">
        <v>48.5</v>
      </c>
      <c r="Q195" s="6">
        <v>16</v>
      </c>
      <c r="R195" s="6">
        <v>21.8</v>
      </c>
      <c r="S195" s="6">
        <v>14.2</v>
      </c>
      <c r="T195" s="6">
        <v>21.7</v>
      </c>
      <c r="U195" s="6">
        <v>23.7</v>
      </c>
      <c r="V195" s="6">
        <v>44</v>
      </c>
      <c r="W195" s="6">
        <v>38.700000000000003</v>
      </c>
      <c r="X195" s="6">
        <v>37.9</v>
      </c>
      <c r="Y195" s="56">
        <f t="shared" si="27"/>
        <v>38.299999999999997</v>
      </c>
      <c r="Z195" s="6">
        <v>44.2</v>
      </c>
      <c r="AA195" s="6">
        <v>44.5</v>
      </c>
      <c r="AB195" s="56">
        <f t="shared" si="26"/>
        <v>44.35</v>
      </c>
      <c r="AC195" s="6">
        <v>49.2</v>
      </c>
      <c r="AD195" s="6">
        <v>47.7</v>
      </c>
      <c r="AE195" s="56">
        <f t="shared" si="25"/>
        <v>48.45</v>
      </c>
      <c r="AF195" s="14" t="s">
        <v>317</v>
      </c>
      <c r="AG195" s="14" t="s">
        <v>196</v>
      </c>
      <c r="AH195" s="14" t="s">
        <v>349</v>
      </c>
      <c r="AI195" s="14" t="s">
        <v>350</v>
      </c>
      <c r="AJ195" s="14" t="s">
        <v>316</v>
      </c>
      <c r="AK195" s="14" t="s">
        <v>692</v>
      </c>
      <c r="AL195" s="1" t="s">
        <v>1072</v>
      </c>
      <c r="AM195" s="11" t="s">
        <v>317</v>
      </c>
      <c r="AN195" s="11" t="s">
        <v>692</v>
      </c>
      <c r="AO195" s="1" t="s">
        <v>1073</v>
      </c>
      <c r="AP195" s="1" t="s">
        <v>370</v>
      </c>
      <c r="AQ195" s="1" t="s">
        <v>349</v>
      </c>
      <c r="AR195" s="6">
        <v>5</v>
      </c>
      <c r="AS195" s="6" t="s">
        <v>350</v>
      </c>
      <c r="AT195" s="6" t="s">
        <v>316</v>
      </c>
      <c r="AU195" s="6">
        <v>5</v>
      </c>
      <c r="AV195" s="36"/>
      <c r="AW195" s="36"/>
      <c r="AX195" s="61"/>
      <c r="AY195" s="36"/>
      <c r="AZ195" s="36"/>
      <c r="BB195" s="24" t="s">
        <v>1074</v>
      </c>
      <c r="BC195" s="24" t="str">
        <f t="shared" si="20"/>
        <v>Not Obese</v>
      </c>
      <c r="BE195" s="1" t="s">
        <v>1075</v>
      </c>
    </row>
    <row r="196" spans="1:63" ht="18.75" customHeight="1">
      <c r="A196" s="29" t="s">
        <v>1076</v>
      </c>
      <c r="B196" s="8">
        <v>45639</v>
      </c>
      <c r="C196" s="1" t="s">
        <v>62</v>
      </c>
      <c r="D196" s="26">
        <v>21</v>
      </c>
      <c r="E196" s="151" t="s">
        <v>2419</v>
      </c>
      <c r="F196" s="152"/>
      <c r="G196" s="6" t="s">
        <v>63</v>
      </c>
      <c r="H196" s="33" t="str">
        <f t="shared" si="21"/>
        <v>Yes</v>
      </c>
      <c r="I196" s="33">
        <v>88.9</v>
      </c>
      <c r="J196" s="6">
        <v>32.5</v>
      </c>
      <c r="K196" s="6">
        <v>22.5</v>
      </c>
      <c r="L196" s="6">
        <v>1837</v>
      </c>
      <c r="M196" s="6">
        <v>26.9</v>
      </c>
      <c r="N196" s="6">
        <v>32.200000000000003</v>
      </c>
      <c r="O196" s="6">
        <v>18.7</v>
      </c>
      <c r="P196" s="6">
        <v>44.4</v>
      </c>
      <c r="Q196" s="6">
        <v>23</v>
      </c>
      <c r="R196" s="6">
        <v>28.5</v>
      </c>
      <c r="S196" s="6">
        <v>21.3</v>
      </c>
      <c r="T196" s="6">
        <v>29.4</v>
      </c>
      <c r="U196" s="6">
        <v>31.1</v>
      </c>
      <c r="V196" s="6">
        <v>72</v>
      </c>
      <c r="W196" s="6">
        <v>40</v>
      </c>
      <c r="X196" s="6">
        <v>40.700000000000003</v>
      </c>
      <c r="Y196" s="56">
        <f t="shared" si="27"/>
        <v>40.35</v>
      </c>
      <c r="Z196" s="6">
        <v>46.8</v>
      </c>
      <c r="AA196" s="6">
        <v>47.6</v>
      </c>
      <c r="AB196" s="56">
        <f t="shared" si="26"/>
        <v>47.2</v>
      </c>
      <c r="AC196" s="6">
        <v>46</v>
      </c>
      <c r="AD196" s="6">
        <v>46.3</v>
      </c>
      <c r="AE196" s="56">
        <f t="shared" si="25"/>
        <v>46.15</v>
      </c>
      <c r="AF196" s="14" t="s">
        <v>415</v>
      </c>
      <c r="AG196" s="14" t="s">
        <v>624</v>
      </c>
      <c r="AH196" s="14" t="s">
        <v>631</v>
      </c>
      <c r="AI196" s="14" t="s">
        <v>625</v>
      </c>
      <c r="AJ196" s="14" t="s">
        <v>364</v>
      </c>
      <c r="AK196" s="14" t="s">
        <v>216</v>
      </c>
      <c r="AM196" s="11" t="s">
        <v>415</v>
      </c>
      <c r="AN196" s="11" t="s">
        <v>216</v>
      </c>
      <c r="AP196" s="1" t="s">
        <v>624</v>
      </c>
      <c r="AQ196" s="1" t="s">
        <v>631</v>
      </c>
      <c r="AR196" s="6">
        <v>5</v>
      </c>
      <c r="AS196" s="6" t="s">
        <v>625</v>
      </c>
      <c r="AT196" s="6" t="s">
        <v>364</v>
      </c>
      <c r="AU196" s="6">
        <v>5</v>
      </c>
      <c r="AV196" s="36"/>
      <c r="AW196" s="36"/>
      <c r="AX196" s="36"/>
      <c r="AY196" s="36"/>
      <c r="AZ196" s="36"/>
      <c r="BB196" s="24" t="s">
        <v>1077</v>
      </c>
      <c r="BC196" s="24" t="str">
        <f t="shared" ref="BC196:BC216" si="28">IF(AND(G196="Male", J196&gt;25, U196&gt;24.9), "Obese", IF(AND(G196="Female", J196&gt;32, U196&gt;24.9), "Obese", "Not Obese"))</f>
        <v>Obese</v>
      </c>
      <c r="BE196" s="29" t="s">
        <v>1078</v>
      </c>
      <c r="BF196" s="29"/>
      <c r="BG196" s="29"/>
      <c r="BH196" s="29"/>
      <c r="BI196" s="29"/>
      <c r="BJ196" s="29"/>
      <c r="BK196" s="29"/>
    </row>
    <row r="197" spans="1:63" ht="18.75" customHeight="1">
      <c r="A197" s="29" t="s">
        <v>1079</v>
      </c>
      <c r="B197" s="8">
        <v>45639</v>
      </c>
      <c r="C197" s="1" t="s">
        <v>84</v>
      </c>
      <c r="D197" s="137">
        <v>30</v>
      </c>
      <c r="E197" s="137">
        <v>33</v>
      </c>
      <c r="F197" s="137">
        <v>30</v>
      </c>
      <c r="G197" s="6" t="s">
        <v>63</v>
      </c>
      <c r="H197" s="33" t="str">
        <f t="shared" si="21"/>
        <v>Yes</v>
      </c>
      <c r="I197" s="33">
        <v>90.9</v>
      </c>
      <c r="J197" s="6">
        <v>27.1</v>
      </c>
      <c r="K197" s="6">
        <v>16</v>
      </c>
      <c r="L197" s="6">
        <v>1921</v>
      </c>
      <c r="M197" s="6">
        <v>31.1</v>
      </c>
      <c r="N197" s="6">
        <v>35.6</v>
      </c>
      <c r="O197" s="6">
        <v>23.3</v>
      </c>
      <c r="P197" s="6">
        <v>48.4</v>
      </c>
      <c r="Q197" s="6">
        <v>19.399999999999999</v>
      </c>
      <c r="R197" s="6">
        <v>24.1</v>
      </c>
      <c r="S197" s="6">
        <v>18</v>
      </c>
      <c r="T197" s="6">
        <v>24.4</v>
      </c>
      <c r="U197" s="6">
        <v>29.7</v>
      </c>
      <c r="V197" s="6">
        <v>56</v>
      </c>
      <c r="W197" s="6">
        <v>40.4</v>
      </c>
      <c r="X197" s="6">
        <v>41.2</v>
      </c>
      <c r="Y197" s="56">
        <f t="shared" si="27"/>
        <v>40.799999999999997</v>
      </c>
      <c r="Z197" s="6">
        <v>49.1</v>
      </c>
      <c r="AA197" s="6">
        <v>49.7</v>
      </c>
      <c r="AB197" s="56">
        <f t="shared" si="26"/>
        <v>49.400000000000006</v>
      </c>
      <c r="AC197" s="6">
        <v>47.9</v>
      </c>
      <c r="AD197" s="6">
        <v>48.7</v>
      </c>
      <c r="AE197" s="56">
        <f t="shared" si="25"/>
        <v>48.3</v>
      </c>
      <c r="AF197" s="14" t="s">
        <v>321</v>
      </c>
      <c r="AG197" s="14" t="s">
        <v>631</v>
      </c>
      <c r="AH197" s="14" t="s">
        <v>322</v>
      </c>
      <c r="AI197" s="14" t="s">
        <v>323</v>
      </c>
      <c r="AJ197" s="14" t="s">
        <v>325</v>
      </c>
      <c r="AK197" s="14" t="s">
        <v>225</v>
      </c>
      <c r="AM197" s="11" t="s">
        <v>321</v>
      </c>
      <c r="AN197" s="11" t="s">
        <v>225</v>
      </c>
      <c r="AP197" s="1" t="s">
        <v>308</v>
      </c>
      <c r="AQ197" s="1" t="s">
        <v>322</v>
      </c>
      <c r="AR197" s="6">
        <v>5</v>
      </c>
      <c r="AS197" s="6" t="s">
        <v>323</v>
      </c>
      <c r="AT197" s="6" t="s">
        <v>325</v>
      </c>
      <c r="AU197" s="6">
        <v>5</v>
      </c>
      <c r="AV197" s="36"/>
      <c r="AW197" s="36"/>
      <c r="AX197" s="36"/>
      <c r="AY197" s="36"/>
      <c r="AZ197" s="36"/>
      <c r="BB197" s="24" t="s">
        <v>1080</v>
      </c>
      <c r="BC197" s="24" t="str">
        <f t="shared" si="28"/>
        <v>Obese</v>
      </c>
      <c r="BE197" s="29" t="s">
        <v>1081</v>
      </c>
      <c r="BF197" s="29"/>
      <c r="BG197" s="29"/>
      <c r="BH197" s="29"/>
      <c r="BI197" s="29"/>
      <c r="BJ197" s="29"/>
      <c r="BK197" s="29"/>
    </row>
    <row r="198" spans="1:63" ht="18.75" customHeight="1">
      <c r="A198" s="29" t="s">
        <v>1082</v>
      </c>
      <c r="B198" s="8">
        <v>45640</v>
      </c>
      <c r="C198" s="1" t="s">
        <v>117</v>
      </c>
      <c r="D198" s="6">
        <v>25</v>
      </c>
      <c r="G198" s="6" t="s">
        <v>63</v>
      </c>
      <c r="H198" s="33" t="str">
        <f t="shared" si="21"/>
        <v>Yes</v>
      </c>
      <c r="I198" s="33">
        <v>79</v>
      </c>
      <c r="J198" s="6">
        <v>30.1</v>
      </c>
      <c r="K198" s="6">
        <v>13</v>
      </c>
      <c r="L198" s="6">
        <v>1700</v>
      </c>
      <c r="M198" s="6">
        <v>28.2</v>
      </c>
      <c r="N198" s="6">
        <v>34.200000000000003</v>
      </c>
      <c r="O198" s="6">
        <v>20.3</v>
      </c>
      <c r="P198" s="6">
        <v>45.6</v>
      </c>
      <c r="Q198" s="6">
        <v>20.5</v>
      </c>
      <c r="R198" s="6">
        <v>26.9</v>
      </c>
      <c r="S198" s="6">
        <v>18.399999999999999</v>
      </c>
      <c r="T198" s="6">
        <v>27.5</v>
      </c>
      <c r="U198" s="6">
        <v>24.9</v>
      </c>
      <c r="V198" s="6">
        <v>62</v>
      </c>
      <c r="W198" s="6">
        <v>42.3</v>
      </c>
      <c r="X198" s="6">
        <v>41.2</v>
      </c>
      <c r="Y198" s="56">
        <f t="shared" si="27"/>
        <v>41.75</v>
      </c>
      <c r="Z198" s="6">
        <v>49.8</v>
      </c>
      <c r="AA198" s="6">
        <v>50</v>
      </c>
      <c r="AB198" s="56">
        <f t="shared" si="26"/>
        <v>49.9</v>
      </c>
      <c r="AC198" s="6">
        <v>50</v>
      </c>
      <c r="AD198" s="6">
        <v>50.7</v>
      </c>
      <c r="AE198" s="56">
        <f t="shared" si="25"/>
        <v>50.35</v>
      </c>
      <c r="AF198" s="14" t="s">
        <v>354</v>
      </c>
      <c r="AG198" s="14" t="s">
        <v>172</v>
      </c>
      <c r="AH198" s="14" t="s">
        <v>315</v>
      </c>
      <c r="AI198" s="14" t="s">
        <v>350</v>
      </c>
      <c r="AJ198" s="14" t="s">
        <v>316</v>
      </c>
      <c r="AK198" s="14" t="s">
        <v>692</v>
      </c>
      <c r="AM198" s="11" t="s">
        <v>354</v>
      </c>
      <c r="AN198" s="11" t="s">
        <v>692</v>
      </c>
      <c r="AP198" s="1" t="s">
        <v>172</v>
      </c>
      <c r="AQ198" s="1" t="s">
        <v>315</v>
      </c>
      <c r="AR198" s="6">
        <v>5</v>
      </c>
      <c r="AS198" s="6" t="s">
        <v>350</v>
      </c>
      <c r="AT198" s="6" t="s">
        <v>316</v>
      </c>
      <c r="AU198" s="6">
        <v>5</v>
      </c>
      <c r="AV198" s="36"/>
      <c r="AW198" s="36"/>
      <c r="AX198" s="36"/>
      <c r="AY198" s="36"/>
      <c r="AZ198" s="36"/>
      <c r="BC198" s="24" t="str">
        <f t="shared" si="28"/>
        <v>Not Obese</v>
      </c>
      <c r="BE198" s="29" t="s">
        <v>1083</v>
      </c>
      <c r="BF198" s="29"/>
      <c r="BG198" s="29"/>
      <c r="BH198" s="29"/>
      <c r="BI198" s="29"/>
      <c r="BJ198" s="29"/>
      <c r="BK198" s="29"/>
    </row>
    <row r="199" spans="1:63" ht="18.75" customHeight="1">
      <c r="A199" s="29" t="s">
        <v>1084</v>
      </c>
      <c r="B199" s="8">
        <v>45640</v>
      </c>
      <c r="C199" s="1" t="s">
        <v>62</v>
      </c>
      <c r="D199" s="6">
        <v>31</v>
      </c>
      <c r="G199" s="6" t="s">
        <v>63</v>
      </c>
      <c r="H199" s="33" t="str">
        <f t="shared" si="21"/>
        <v>No</v>
      </c>
      <c r="I199" s="33">
        <v>71.099999999999994</v>
      </c>
      <c r="J199" s="6">
        <v>22.4</v>
      </c>
      <c r="K199" s="6">
        <v>7</v>
      </c>
      <c r="L199" s="6">
        <v>1625</v>
      </c>
      <c r="M199" s="6">
        <v>32.5</v>
      </c>
      <c r="N199" s="6">
        <v>37.799999999999997</v>
      </c>
      <c r="O199" s="6">
        <v>25.7</v>
      </c>
      <c r="P199" s="6">
        <v>49.8</v>
      </c>
      <c r="Q199" s="6">
        <v>15.2</v>
      </c>
      <c r="R199" s="6">
        <v>20.9</v>
      </c>
      <c r="S199" s="6">
        <v>13.3</v>
      </c>
      <c r="T199" s="6">
        <v>20.8</v>
      </c>
      <c r="U199" s="6">
        <v>21.9</v>
      </c>
      <c r="V199" s="6">
        <v>42</v>
      </c>
      <c r="W199" s="6">
        <v>38.799999999999997</v>
      </c>
      <c r="X199" s="6">
        <v>37.6</v>
      </c>
      <c r="Y199" s="56">
        <f t="shared" si="27"/>
        <v>38.200000000000003</v>
      </c>
      <c r="Z199" s="6">
        <v>49</v>
      </c>
      <c r="AA199" s="6">
        <v>49.7</v>
      </c>
      <c r="AB199" s="56">
        <f t="shared" si="26"/>
        <v>49.35</v>
      </c>
      <c r="AC199" s="6">
        <v>48.7</v>
      </c>
      <c r="AD199" s="6">
        <v>47.2</v>
      </c>
      <c r="AE199" s="56">
        <f t="shared" si="25"/>
        <v>47.95</v>
      </c>
      <c r="AF199" s="14" t="s">
        <v>378</v>
      </c>
      <c r="AG199" s="14" t="s">
        <v>639</v>
      </c>
      <c r="AH199" s="14" t="s">
        <v>314</v>
      </c>
      <c r="AI199" s="14" t="s">
        <v>883</v>
      </c>
      <c r="AJ199" s="14" t="s">
        <v>1011</v>
      </c>
      <c r="AK199" s="14" t="s">
        <v>884</v>
      </c>
      <c r="AM199" s="11" t="s">
        <v>378</v>
      </c>
      <c r="AN199" s="11" t="s">
        <v>884</v>
      </c>
      <c r="AP199" s="1" t="s">
        <v>639</v>
      </c>
      <c r="AQ199" s="1" t="s">
        <v>314</v>
      </c>
      <c r="AR199" s="6">
        <v>5</v>
      </c>
      <c r="AS199" s="6" t="s">
        <v>883</v>
      </c>
      <c r="AT199" s="6" t="s">
        <v>1011</v>
      </c>
      <c r="AU199" s="6">
        <v>5</v>
      </c>
      <c r="AV199" s="36"/>
      <c r="AW199" s="36"/>
      <c r="AX199" s="36"/>
      <c r="AY199" s="36"/>
      <c r="AZ199" s="36"/>
      <c r="BC199" s="24" t="str">
        <f t="shared" si="28"/>
        <v>Not Obese</v>
      </c>
      <c r="BE199" s="1" t="s">
        <v>1085</v>
      </c>
    </row>
    <row r="200" spans="1:63" ht="18.75" customHeight="1">
      <c r="A200" s="29" t="s">
        <v>1086</v>
      </c>
      <c r="B200" s="8">
        <v>45640</v>
      </c>
      <c r="C200" s="1" t="s">
        <v>84</v>
      </c>
      <c r="D200" s="6">
        <v>32</v>
      </c>
      <c r="G200" s="6" t="s">
        <v>63</v>
      </c>
      <c r="H200" s="33" t="str">
        <f t="shared" si="21"/>
        <v>No</v>
      </c>
      <c r="I200" s="33">
        <v>71.7</v>
      </c>
      <c r="J200" s="6">
        <v>23.8</v>
      </c>
      <c r="K200" s="6">
        <v>8</v>
      </c>
      <c r="L200" s="6">
        <v>1627</v>
      </c>
      <c r="M200" s="6">
        <v>31.9</v>
      </c>
      <c r="N200" s="6">
        <v>37.6</v>
      </c>
      <c r="O200" s="6">
        <v>24.9</v>
      </c>
      <c r="P200" s="6">
        <v>49.2</v>
      </c>
      <c r="Q200" s="6">
        <v>16.3</v>
      </c>
      <c r="R200" s="6">
        <v>22.6</v>
      </c>
      <c r="S200" s="6">
        <v>14.4</v>
      </c>
      <c r="T200" s="6">
        <v>22.5</v>
      </c>
      <c r="U200" s="6">
        <v>23.1</v>
      </c>
      <c r="V200" s="6">
        <v>43</v>
      </c>
      <c r="W200" s="6">
        <v>39.1</v>
      </c>
      <c r="X200" s="6">
        <v>38.299999999999997</v>
      </c>
      <c r="Y200" s="56">
        <f t="shared" si="27"/>
        <v>38.700000000000003</v>
      </c>
      <c r="Z200" s="6">
        <v>44.2</v>
      </c>
      <c r="AA200" s="6">
        <v>46</v>
      </c>
      <c r="AB200" s="56">
        <f t="shared" si="26"/>
        <v>45.1</v>
      </c>
      <c r="AC200" s="6">
        <v>47.5</v>
      </c>
      <c r="AD200" s="6">
        <v>49.5</v>
      </c>
      <c r="AE200" s="56">
        <f t="shared" si="25"/>
        <v>48.5</v>
      </c>
      <c r="AF200" s="14" t="s">
        <v>91</v>
      </c>
      <c r="AG200" s="14" t="s">
        <v>433</v>
      </c>
      <c r="AH200" s="14" t="s">
        <v>93</v>
      </c>
      <c r="AI200" s="14" t="s">
        <v>749</v>
      </c>
      <c r="AJ200" s="14" t="s">
        <v>302</v>
      </c>
      <c r="AK200" s="14" t="s">
        <v>615</v>
      </c>
      <c r="AM200" s="11" t="s">
        <v>91</v>
      </c>
      <c r="AN200" s="11" t="s">
        <v>615</v>
      </c>
      <c r="AP200" s="1" t="s">
        <v>433</v>
      </c>
      <c r="AQ200" s="1" t="s">
        <v>93</v>
      </c>
      <c r="AR200" s="6">
        <v>5</v>
      </c>
      <c r="AS200" s="6" t="s">
        <v>749</v>
      </c>
      <c r="AT200" s="6" t="s">
        <v>71</v>
      </c>
      <c r="AU200" s="6">
        <v>5</v>
      </c>
      <c r="AV200" s="36"/>
      <c r="AW200" s="36"/>
      <c r="AX200" s="36"/>
      <c r="AY200" s="36"/>
      <c r="AZ200" s="36"/>
      <c r="BC200" s="24" t="str">
        <f t="shared" si="28"/>
        <v>Not Obese</v>
      </c>
      <c r="BE200" s="29" t="s">
        <v>1087</v>
      </c>
      <c r="BF200" s="29"/>
      <c r="BG200" s="29"/>
      <c r="BH200" s="29"/>
      <c r="BI200" s="29"/>
      <c r="BJ200" s="29"/>
      <c r="BK200" s="29"/>
    </row>
    <row r="201" spans="1:63" ht="18.75" customHeight="1">
      <c r="A201" s="29" t="s">
        <v>1088</v>
      </c>
      <c r="B201" s="8">
        <v>45642</v>
      </c>
      <c r="C201" s="1" t="s">
        <v>117</v>
      </c>
      <c r="D201" s="6">
        <v>20</v>
      </c>
      <c r="G201" s="6" t="s">
        <v>63</v>
      </c>
      <c r="H201" s="33" t="str">
        <f t="shared" ref="H201:H216" si="29">IF(OR(AND(G201="Male",J201&gt;=25),AND(G201="Female",J201&gt;=32)),"Yes","No")</f>
        <v>No</v>
      </c>
      <c r="I201" s="33">
        <v>54.4</v>
      </c>
      <c r="J201" s="6">
        <v>21.2</v>
      </c>
      <c r="K201" s="6">
        <v>7.5</v>
      </c>
      <c r="L201" s="6">
        <v>1339</v>
      </c>
      <c r="M201" s="6">
        <v>29.2</v>
      </c>
      <c r="N201" s="6">
        <v>36.200000000000003</v>
      </c>
      <c r="O201" s="6">
        <v>23.6</v>
      </c>
      <c r="P201" s="6">
        <v>46.6</v>
      </c>
      <c r="Q201" s="6">
        <v>14.4</v>
      </c>
      <c r="R201" s="6">
        <v>18.8</v>
      </c>
      <c r="S201" s="6">
        <v>12.5</v>
      </c>
      <c r="T201" s="6">
        <v>18.600000000000001</v>
      </c>
      <c r="U201" s="6">
        <v>21.3</v>
      </c>
      <c r="V201" s="6">
        <v>47</v>
      </c>
      <c r="W201" s="6">
        <v>33.799999999999997</v>
      </c>
      <c r="X201" s="6">
        <v>34.200000000000003</v>
      </c>
      <c r="Y201" s="56">
        <f t="shared" si="27"/>
        <v>34</v>
      </c>
      <c r="Z201" s="6">
        <v>46.2</v>
      </c>
      <c r="AA201" s="6">
        <v>45.6</v>
      </c>
      <c r="AB201" s="56">
        <f t="shared" si="26"/>
        <v>45.900000000000006</v>
      </c>
      <c r="AC201" s="6">
        <v>41.9</v>
      </c>
      <c r="AD201" s="6">
        <v>42</v>
      </c>
      <c r="AE201" s="56">
        <f t="shared" si="25"/>
        <v>41.95</v>
      </c>
      <c r="AF201" s="14" t="s">
        <v>1089</v>
      </c>
      <c r="AG201" s="14" t="s">
        <v>297</v>
      </c>
      <c r="AH201" s="14" t="s">
        <v>142</v>
      </c>
      <c r="AI201" s="14" t="s">
        <v>183</v>
      </c>
      <c r="AJ201" s="14" t="s">
        <v>144</v>
      </c>
      <c r="AK201" s="14" t="s">
        <v>1090</v>
      </c>
      <c r="AM201" s="11" t="s">
        <v>443</v>
      </c>
      <c r="AN201" s="11" t="s">
        <v>1090</v>
      </c>
      <c r="AO201" s="29" t="s">
        <v>769</v>
      </c>
      <c r="AP201" s="1" t="s">
        <v>297</v>
      </c>
      <c r="AQ201" s="1" t="s">
        <v>142</v>
      </c>
      <c r="AR201" s="6">
        <v>5</v>
      </c>
      <c r="AS201" s="6" t="s">
        <v>183</v>
      </c>
      <c r="AT201" s="6" t="s">
        <v>144</v>
      </c>
      <c r="AU201" s="6">
        <v>5</v>
      </c>
      <c r="AV201" s="36"/>
      <c r="AW201" s="36"/>
      <c r="AX201" s="36"/>
      <c r="AY201" s="36"/>
      <c r="AZ201" s="36"/>
      <c r="BB201" s="52" t="s">
        <v>1091</v>
      </c>
      <c r="BC201" s="24" t="str">
        <f t="shared" si="28"/>
        <v>Not Obese</v>
      </c>
      <c r="BD201" s="115"/>
      <c r="BE201" s="29" t="s">
        <v>1092</v>
      </c>
      <c r="BF201" s="29"/>
      <c r="BG201" s="29"/>
      <c r="BH201" s="29"/>
      <c r="BI201" s="29"/>
      <c r="BJ201" s="29"/>
      <c r="BK201" s="29"/>
    </row>
    <row r="202" spans="1:63" ht="18.75" customHeight="1">
      <c r="A202" s="29" t="s">
        <v>1093</v>
      </c>
      <c r="B202" s="8">
        <v>45642</v>
      </c>
      <c r="C202" s="1" t="s">
        <v>62</v>
      </c>
      <c r="D202" s="6">
        <v>32</v>
      </c>
      <c r="G202" s="6" t="s">
        <v>63</v>
      </c>
      <c r="H202" s="33" t="str">
        <f t="shared" si="29"/>
        <v>Yes</v>
      </c>
      <c r="I202" s="33">
        <v>77</v>
      </c>
      <c r="J202" s="6">
        <v>26</v>
      </c>
      <c r="K202" s="6">
        <v>12</v>
      </c>
      <c r="L202" s="6">
        <v>1698</v>
      </c>
      <c r="M202" s="6">
        <v>30.6</v>
      </c>
      <c r="N202" s="6">
        <v>36.299999999999997</v>
      </c>
      <c r="O202" s="6">
        <v>23.3</v>
      </c>
      <c r="P202" s="6">
        <v>48</v>
      </c>
      <c r="Q202" s="6">
        <v>18.2</v>
      </c>
      <c r="R202" s="6">
        <v>24.5</v>
      </c>
      <c r="S202" s="6">
        <v>16.5</v>
      </c>
      <c r="T202" s="6">
        <v>24.6</v>
      </c>
      <c r="U202" s="6">
        <v>26.3</v>
      </c>
      <c r="V202" s="6">
        <v>49</v>
      </c>
      <c r="W202" s="6">
        <v>39.700000000000003</v>
      </c>
      <c r="X202" s="6">
        <v>38.799999999999997</v>
      </c>
      <c r="Y202" s="56">
        <f t="shared" si="27"/>
        <v>39.25</v>
      </c>
      <c r="Z202" s="6">
        <v>50</v>
      </c>
      <c r="AA202" s="6">
        <v>48.5</v>
      </c>
      <c r="AB202" s="56">
        <f t="shared" si="26"/>
        <v>49.25</v>
      </c>
      <c r="AC202" s="6">
        <v>48.9</v>
      </c>
      <c r="AD202" s="6">
        <v>49.6</v>
      </c>
      <c r="AE202" s="56">
        <f t="shared" si="25"/>
        <v>49.25</v>
      </c>
      <c r="AF202" s="14" t="s">
        <v>209</v>
      </c>
      <c r="AG202" s="14" t="s">
        <v>66</v>
      </c>
      <c r="AH202" s="14" t="s">
        <v>103</v>
      </c>
      <c r="AI202" s="14" t="s">
        <v>99</v>
      </c>
      <c r="AJ202" s="14" t="s">
        <v>100</v>
      </c>
      <c r="AK202" s="14" t="s">
        <v>101</v>
      </c>
      <c r="AM202" s="11" t="s">
        <v>209</v>
      </c>
      <c r="AN202" s="11" t="s">
        <v>101</v>
      </c>
      <c r="AP202" s="1" t="s">
        <v>66</v>
      </c>
      <c r="AQ202" s="1" t="s">
        <v>103</v>
      </c>
      <c r="AR202" s="6">
        <v>5</v>
      </c>
      <c r="AS202" s="6" t="s">
        <v>68</v>
      </c>
      <c r="AT202" s="6" t="s">
        <v>100</v>
      </c>
      <c r="AU202" s="6">
        <v>5</v>
      </c>
      <c r="AV202" s="36"/>
      <c r="AW202" s="36"/>
      <c r="AX202" s="36"/>
      <c r="AY202" s="36"/>
      <c r="AZ202" s="36"/>
      <c r="BB202" s="24" t="s">
        <v>1094</v>
      </c>
      <c r="BC202" s="24" t="str">
        <f t="shared" si="28"/>
        <v>Obese</v>
      </c>
      <c r="BD202" s="115"/>
      <c r="BE202" s="1" t="s">
        <v>1095</v>
      </c>
    </row>
    <row r="203" spans="1:63" ht="18.75" customHeight="1">
      <c r="A203" s="29" t="s">
        <v>1096</v>
      </c>
      <c r="B203" s="8">
        <v>45642</v>
      </c>
      <c r="C203" s="1" t="s">
        <v>84</v>
      </c>
      <c r="D203" s="6">
        <v>32</v>
      </c>
      <c r="G203" s="6" t="s">
        <v>63</v>
      </c>
      <c r="H203" s="33" t="str">
        <f t="shared" si="29"/>
        <v>Yes</v>
      </c>
      <c r="I203" s="33">
        <v>74.099999999999994</v>
      </c>
      <c r="J203" s="6">
        <v>28.2</v>
      </c>
      <c r="K203" s="6">
        <v>12</v>
      </c>
      <c r="L203" s="6">
        <v>1638</v>
      </c>
      <c r="M203" s="6">
        <v>29.5</v>
      </c>
      <c r="N203" s="6">
        <v>35.9</v>
      </c>
      <c r="O203" s="6">
        <v>21.9</v>
      </c>
      <c r="P203" s="6">
        <v>46.9</v>
      </c>
      <c r="Q203" s="6">
        <v>19.5</v>
      </c>
      <c r="R203" s="6">
        <v>27.1</v>
      </c>
      <c r="S203" s="6">
        <v>17.600000000000001</v>
      </c>
      <c r="T203" s="6">
        <v>27.4</v>
      </c>
      <c r="U203" s="6">
        <v>26.3</v>
      </c>
      <c r="V203" s="6">
        <v>49</v>
      </c>
      <c r="W203" s="6">
        <v>37.4</v>
      </c>
      <c r="X203" s="6">
        <v>38</v>
      </c>
      <c r="Y203" s="56">
        <f t="shared" si="27"/>
        <v>37.700000000000003</v>
      </c>
      <c r="Z203" s="6">
        <v>47.3</v>
      </c>
      <c r="AA203" s="6">
        <v>46</v>
      </c>
      <c r="AB203" s="56">
        <f t="shared" si="26"/>
        <v>46.65</v>
      </c>
      <c r="AC203" s="6">
        <v>48.1</v>
      </c>
      <c r="AD203" s="6">
        <v>48.6</v>
      </c>
      <c r="AE203" s="56">
        <f t="shared" si="25"/>
        <v>48.35</v>
      </c>
      <c r="AF203" s="14" t="s">
        <v>102</v>
      </c>
      <c r="AG203" s="14" t="s">
        <v>77</v>
      </c>
      <c r="AH203" s="14" t="s">
        <v>78</v>
      </c>
      <c r="AI203" s="14" t="s">
        <v>121</v>
      </c>
      <c r="AJ203" s="14" t="s">
        <v>80</v>
      </c>
      <c r="AK203" s="14" t="s">
        <v>1097</v>
      </c>
      <c r="AL203" s="1" t="s">
        <v>1098</v>
      </c>
      <c r="AM203" s="11" t="s">
        <v>102</v>
      </c>
      <c r="AN203" s="11" t="s">
        <v>1097</v>
      </c>
      <c r="AP203" s="1" t="s">
        <v>77</v>
      </c>
      <c r="AQ203" s="1" t="s">
        <v>78</v>
      </c>
      <c r="AR203" s="6">
        <v>5</v>
      </c>
      <c r="AS203" s="6" t="s">
        <v>79</v>
      </c>
      <c r="AT203" s="6" t="s">
        <v>80</v>
      </c>
      <c r="AU203" s="6">
        <v>5</v>
      </c>
      <c r="AV203" s="36"/>
      <c r="AW203" s="36"/>
      <c r="AX203" s="36"/>
      <c r="AY203" s="36"/>
      <c r="AZ203" s="36"/>
      <c r="BB203" s="24" t="s">
        <v>1099</v>
      </c>
      <c r="BC203" s="24" t="str">
        <f t="shared" si="28"/>
        <v>Obese</v>
      </c>
      <c r="BD203" s="115"/>
      <c r="BE203" s="29" t="s">
        <v>1100</v>
      </c>
      <c r="BF203" s="29"/>
      <c r="BG203" s="29"/>
      <c r="BH203" s="29"/>
      <c r="BI203" s="29"/>
      <c r="BJ203" s="29"/>
      <c r="BK203" s="29"/>
    </row>
    <row r="204" spans="1:63" ht="18.75" customHeight="1">
      <c r="A204" s="29" t="s">
        <v>1101</v>
      </c>
      <c r="B204" s="8">
        <v>45643</v>
      </c>
      <c r="C204" s="1" t="s">
        <v>62</v>
      </c>
      <c r="D204" s="6">
        <v>19</v>
      </c>
      <c r="G204" s="6" t="s">
        <v>63</v>
      </c>
      <c r="H204" s="33" t="str">
        <f t="shared" si="29"/>
        <v>Yes</v>
      </c>
      <c r="I204" s="33">
        <v>51.4</v>
      </c>
      <c r="J204" s="6">
        <v>27.1</v>
      </c>
      <c r="K204" s="6">
        <v>6.5</v>
      </c>
      <c r="L204" s="6">
        <v>1274</v>
      </c>
      <c r="M204" s="6">
        <v>28.1</v>
      </c>
      <c r="N204" s="6">
        <v>36</v>
      </c>
      <c r="O204" s="6">
        <v>21.1</v>
      </c>
      <c r="P204" s="6">
        <v>45.5</v>
      </c>
      <c r="Q204" s="6">
        <v>18</v>
      </c>
      <c r="R204" s="6">
        <v>24.5</v>
      </c>
      <c r="S204" s="6">
        <v>15.7</v>
      </c>
      <c r="T204" s="6">
        <v>24.8</v>
      </c>
      <c r="U204" s="6">
        <v>20.9</v>
      </c>
      <c r="V204" s="6">
        <v>41</v>
      </c>
      <c r="W204" s="6">
        <v>34.200000000000003</v>
      </c>
      <c r="X204" s="6">
        <v>34.200000000000003</v>
      </c>
      <c r="Y204" s="56">
        <f t="shared" si="27"/>
        <v>34.200000000000003</v>
      </c>
      <c r="Z204" s="6">
        <v>43.5</v>
      </c>
      <c r="AA204" s="6">
        <v>42.2</v>
      </c>
      <c r="AB204" s="56">
        <f t="shared" si="26"/>
        <v>42.85</v>
      </c>
      <c r="AC204" s="6">
        <v>43</v>
      </c>
      <c r="AD204" s="6">
        <v>42.9</v>
      </c>
      <c r="AE204" s="56">
        <f t="shared" si="25"/>
        <v>42.95</v>
      </c>
      <c r="AF204" s="14" t="s">
        <v>188</v>
      </c>
      <c r="AG204" s="14" t="s">
        <v>171</v>
      </c>
      <c r="AH204" s="14" t="s">
        <v>370</v>
      </c>
      <c r="AI204" s="14" t="s">
        <v>375</v>
      </c>
      <c r="AJ204" s="14" t="s">
        <v>355</v>
      </c>
      <c r="AK204" s="14" t="s">
        <v>372</v>
      </c>
      <c r="AM204" s="11" t="s">
        <v>424</v>
      </c>
      <c r="AN204" s="11" t="s">
        <v>372</v>
      </c>
      <c r="AP204" s="1" t="s">
        <v>171</v>
      </c>
      <c r="AQ204" s="1" t="s">
        <v>370</v>
      </c>
      <c r="AR204" s="6">
        <v>6</v>
      </c>
      <c r="AS204" s="6" t="s">
        <v>375</v>
      </c>
      <c r="AT204" s="6" t="s">
        <v>355</v>
      </c>
      <c r="AU204" s="6">
        <v>5</v>
      </c>
      <c r="AV204" s="36"/>
      <c r="AW204" s="36"/>
      <c r="AX204" s="36"/>
      <c r="AY204" s="36"/>
      <c r="AZ204" s="36"/>
      <c r="BB204" s="24" t="s">
        <v>1102</v>
      </c>
      <c r="BC204" s="24" t="str">
        <f t="shared" si="28"/>
        <v>Not Obese</v>
      </c>
      <c r="BD204" s="115"/>
      <c r="BE204" s="29" t="s">
        <v>1103</v>
      </c>
      <c r="BF204" s="29"/>
      <c r="BG204" s="29"/>
      <c r="BH204" s="29"/>
      <c r="BI204" s="29"/>
      <c r="BJ204" s="29"/>
      <c r="BK204" s="29"/>
    </row>
    <row r="205" spans="1:63" ht="18.75" customHeight="1">
      <c r="A205" s="29" t="s">
        <v>1104</v>
      </c>
      <c r="B205" s="8">
        <v>45643</v>
      </c>
      <c r="C205" s="1" t="s">
        <v>84</v>
      </c>
      <c r="D205" s="6">
        <v>22</v>
      </c>
      <c r="G205" s="6" t="s">
        <v>63</v>
      </c>
      <c r="H205" s="33" t="str">
        <f t="shared" si="29"/>
        <v>No</v>
      </c>
      <c r="I205" s="33">
        <v>70.900000000000006</v>
      </c>
      <c r="J205" s="6">
        <v>24.5</v>
      </c>
      <c r="K205" s="6">
        <v>10</v>
      </c>
      <c r="L205" s="6">
        <v>1602</v>
      </c>
      <c r="M205" s="6">
        <v>30.3</v>
      </c>
      <c r="N205" s="6">
        <v>36.4</v>
      </c>
      <c r="O205" s="6">
        <v>23.5</v>
      </c>
      <c r="P205" s="6">
        <v>47.6</v>
      </c>
      <c r="Q205" s="6">
        <v>16.8</v>
      </c>
      <c r="R205" s="6">
        <v>21.6</v>
      </c>
      <c r="S205" s="6">
        <v>15</v>
      </c>
      <c r="T205" s="6">
        <v>21.8</v>
      </c>
      <c r="U205" s="6">
        <v>23.7</v>
      </c>
      <c r="V205" s="6">
        <v>53</v>
      </c>
      <c r="W205" s="6">
        <v>40.5</v>
      </c>
      <c r="X205" s="6">
        <v>40.200000000000003</v>
      </c>
      <c r="Y205" s="56">
        <f t="shared" si="27"/>
        <v>40.35</v>
      </c>
      <c r="Z205" s="6">
        <v>46.2</v>
      </c>
      <c r="AA205" s="6">
        <v>46.3</v>
      </c>
      <c r="AB205" s="56">
        <f t="shared" si="26"/>
        <v>46.25</v>
      </c>
      <c r="AC205" s="6">
        <v>48</v>
      </c>
      <c r="AD205" s="6">
        <v>49</v>
      </c>
      <c r="AE205" s="56">
        <f t="shared" si="25"/>
        <v>48.5</v>
      </c>
      <c r="AF205" s="14" t="s">
        <v>670</v>
      </c>
      <c r="AG205" s="14" t="s">
        <v>397</v>
      </c>
      <c r="AH205" s="14" t="s">
        <v>454</v>
      </c>
      <c r="AI205" s="14" t="s">
        <v>214</v>
      </c>
      <c r="AJ205" s="14" t="s">
        <v>364</v>
      </c>
      <c r="AK205" s="14" t="s">
        <v>672</v>
      </c>
      <c r="AM205" s="11" t="s">
        <v>670</v>
      </c>
      <c r="AN205" s="11" t="s">
        <v>672</v>
      </c>
      <c r="AP205" s="1" t="s">
        <v>397</v>
      </c>
      <c r="AQ205" s="1" t="s">
        <v>454</v>
      </c>
      <c r="AR205" s="6">
        <v>6</v>
      </c>
      <c r="AS205" s="6" t="s">
        <v>625</v>
      </c>
      <c r="AT205" s="6" t="s">
        <v>364</v>
      </c>
      <c r="AU205" s="6">
        <v>5</v>
      </c>
      <c r="AV205" s="36"/>
      <c r="AW205" s="36"/>
      <c r="AX205" s="36"/>
      <c r="AY205" s="36"/>
      <c r="AZ205" s="36"/>
      <c r="BB205" s="24" t="s">
        <v>1105</v>
      </c>
      <c r="BC205" s="24" t="str">
        <f t="shared" si="28"/>
        <v>Not Obese</v>
      </c>
      <c r="BD205" s="115"/>
      <c r="BE205" s="1" t="s">
        <v>1106</v>
      </c>
    </row>
    <row r="206" spans="1:63" ht="18.75" customHeight="1">
      <c r="A206" s="29" t="s">
        <v>1107</v>
      </c>
      <c r="B206" s="8">
        <v>45643</v>
      </c>
      <c r="C206" s="1" t="s">
        <v>117</v>
      </c>
      <c r="D206" s="54">
        <v>32</v>
      </c>
      <c r="E206" s="54">
        <v>37</v>
      </c>
      <c r="F206" s="54">
        <v>35</v>
      </c>
      <c r="G206" s="6" t="s">
        <v>63</v>
      </c>
      <c r="H206" s="33" t="str">
        <f t="shared" si="29"/>
        <v>No</v>
      </c>
      <c r="I206" s="33">
        <v>75.7</v>
      </c>
      <c r="J206" s="6">
        <v>22.5</v>
      </c>
      <c r="K206" s="6">
        <v>9</v>
      </c>
      <c r="L206" s="6">
        <v>1700</v>
      </c>
      <c r="M206" s="6">
        <v>32.5</v>
      </c>
      <c r="N206" s="6">
        <v>37.1</v>
      </c>
      <c r="O206" s="6">
        <v>25.7</v>
      </c>
      <c r="P206" s="6">
        <v>49.8</v>
      </c>
      <c r="Q206" s="6">
        <v>15.6</v>
      </c>
      <c r="R206" s="6">
        <v>20.7</v>
      </c>
      <c r="S206" s="6">
        <v>13.9</v>
      </c>
      <c r="T206" s="6">
        <v>20.5</v>
      </c>
      <c r="U206" s="6">
        <v>23.9</v>
      </c>
      <c r="V206" s="6">
        <v>46</v>
      </c>
      <c r="W206" s="6">
        <v>40.9</v>
      </c>
      <c r="X206" s="6">
        <v>40.299999999999997</v>
      </c>
      <c r="Y206" s="56">
        <f t="shared" si="27"/>
        <v>40.599999999999994</v>
      </c>
      <c r="Z206" s="6">
        <v>50.1</v>
      </c>
      <c r="AA206" s="6">
        <v>48.5</v>
      </c>
      <c r="AB206" s="56">
        <f t="shared" si="26"/>
        <v>49.3</v>
      </c>
      <c r="AC206" s="6">
        <v>46.9</v>
      </c>
      <c r="AD206" s="6">
        <v>48</v>
      </c>
      <c r="AE206" s="56">
        <f t="shared" si="25"/>
        <v>47.45</v>
      </c>
      <c r="AF206" s="14" t="s">
        <v>209</v>
      </c>
      <c r="AG206" s="14" t="s">
        <v>66</v>
      </c>
      <c r="AH206" s="14" t="s">
        <v>103</v>
      </c>
      <c r="AI206" s="14" t="s">
        <v>99</v>
      </c>
      <c r="AJ206" s="14" t="s">
        <v>298</v>
      </c>
      <c r="AK206" s="14" t="s">
        <v>81</v>
      </c>
      <c r="AL206" s="1" t="s">
        <v>1108</v>
      </c>
      <c r="AM206" s="11" t="s">
        <v>209</v>
      </c>
      <c r="AN206" s="11" t="s">
        <v>81</v>
      </c>
      <c r="AP206" s="1" t="s">
        <v>66</v>
      </c>
      <c r="AQ206" s="1" t="s">
        <v>103</v>
      </c>
      <c r="AR206" s="6">
        <v>5</v>
      </c>
      <c r="AS206" s="6" t="s">
        <v>99</v>
      </c>
      <c r="AT206" s="6" t="s">
        <v>298</v>
      </c>
      <c r="AU206" s="6">
        <v>5</v>
      </c>
      <c r="AV206" s="36"/>
      <c r="AW206" s="36"/>
      <c r="AX206" s="36"/>
      <c r="AY206" s="36"/>
      <c r="AZ206" s="36"/>
      <c r="BC206" s="24" t="str">
        <f t="shared" si="28"/>
        <v>Not Obese</v>
      </c>
      <c r="BD206" s="115"/>
      <c r="BE206" s="1" t="s">
        <v>1109</v>
      </c>
    </row>
    <row r="207" spans="1:63" ht="18.75" customHeight="1">
      <c r="A207" s="29" t="s">
        <v>1110</v>
      </c>
      <c r="B207" s="8">
        <v>45649</v>
      </c>
      <c r="C207" s="1" t="s">
        <v>117</v>
      </c>
      <c r="D207" s="6">
        <v>18</v>
      </c>
      <c r="G207" s="6" t="s">
        <v>85</v>
      </c>
      <c r="H207" s="33" t="str">
        <f t="shared" si="29"/>
        <v>Yes</v>
      </c>
      <c r="I207" s="33">
        <v>67.5</v>
      </c>
      <c r="J207" s="6">
        <v>32.200000000000003</v>
      </c>
      <c r="K207" s="6">
        <v>7.5</v>
      </c>
      <c r="L207" s="6">
        <v>1383</v>
      </c>
      <c r="M207" s="6">
        <v>25.8</v>
      </c>
      <c r="N207" s="6">
        <v>25.9</v>
      </c>
      <c r="O207" s="6">
        <v>19</v>
      </c>
      <c r="P207" s="6">
        <v>39.5</v>
      </c>
      <c r="Q207" s="6">
        <v>29.1</v>
      </c>
      <c r="R207" s="6">
        <v>42.5</v>
      </c>
      <c r="S207" s="6">
        <v>24.9</v>
      </c>
      <c r="T207" s="6">
        <v>37.5</v>
      </c>
      <c r="U207" s="6">
        <v>25.7</v>
      </c>
      <c r="V207" s="6">
        <v>55</v>
      </c>
      <c r="W207" s="6">
        <v>41.4</v>
      </c>
      <c r="X207" s="6">
        <v>40</v>
      </c>
      <c r="Y207" s="56">
        <f t="shared" si="27"/>
        <v>40.700000000000003</v>
      </c>
      <c r="Z207" s="6">
        <v>48</v>
      </c>
      <c r="AA207" s="6">
        <v>46.5</v>
      </c>
      <c r="AB207" s="56">
        <f t="shared" si="26"/>
        <v>47.25</v>
      </c>
      <c r="AC207" s="6">
        <v>42.1</v>
      </c>
      <c r="AD207" s="6">
        <v>41.9</v>
      </c>
      <c r="AE207" s="56">
        <f t="shared" si="25"/>
        <v>42</v>
      </c>
      <c r="AF207" s="14" t="s">
        <v>213</v>
      </c>
      <c r="AG207" s="14" t="s">
        <v>349</v>
      </c>
      <c r="AH207" s="14" t="s">
        <v>307</v>
      </c>
      <c r="AI207" s="14" t="s">
        <v>316</v>
      </c>
      <c r="AJ207" s="14" t="s">
        <v>214</v>
      </c>
      <c r="AK207" s="14" t="s">
        <v>194</v>
      </c>
      <c r="AM207" s="11" t="s">
        <v>213</v>
      </c>
      <c r="AN207" s="11" t="s">
        <v>194</v>
      </c>
      <c r="AO207" s="29" t="s">
        <v>769</v>
      </c>
      <c r="AP207" s="1" t="s">
        <v>197</v>
      </c>
      <c r="AQ207" s="1" t="s">
        <v>307</v>
      </c>
      <c r="AR207" s="6">
        <v>5</v>
      </c>
      <c r="AS207" s="6" t="s">
        <v>316</v>
      </c>
      <c r="AT207" s="6" t="s">
        <v>214</v>
      </c>
      <c r="AU207" s="6">
        <v>5</v>
      </c>
      <c r="AV207" s="36"/>
      <c r="AW207" s="36"/>
      <c r="AX207" s="36"/>
      <c r="AY207" s="36"/>
      <c r="AZ207" s="36"/>
      <c r="BB207" s="24" t="s">
        <v>1111</v>
      </c>
      <c r="BC207" s="24" t="str">
        <f t="shared" si="28"/>
        <v>Obese</v>
      </c>
      <c r="BD207" s="115"/>
      <c r="BE207" s="1" t="s">
        <v>1112</v>
      </c>
    </row>
    <row r="208" spans="1:63" ht="18.75" customHeight="1">
      <c r="A208" s="29" t="s">
        <v>1113</v>
      </c>
      <c r="B208" s="8">
        <v>45649</v>
      </c>
      <c r="C208" s="1" t="s">
        <v>62</v>
      </c>
      <c r="D208" s="6">
        <v>32</v>
      </c>
      <c r="G208" s="6" t="s">
        <v>85</v>
      </c>
      <c r="H208" s="33" t="str">
        <f t="shared" si="29"/>
        <v>No</v>
      </c>
      <c r="I208" s="33">
        <v>96.2</v>
      </c>
      <c r="J208" s="77"/>
      <c r="K208" s="77"/>
      <c r="L208" s="77"/>
      <c r="M208" s="77"/>
      <c r="N208" s="77"/>
      <c r="O208" s="77"/>
      <c r="P208" s="77"/>
      <c r="Q208" s="77"/>
      <c r="R208" s="77"/>
      <c r="S208" s="77"/>
      <c r="T208" s="77"/>
      <c r="U208" s="77"/>
      <c r="V208" s="77"/>
      <c r="W208" s="6">
        <v>48.4</v>
      </c>
      <c r="X208" s="6">
        <v>48.2</v>
      </c>
      <c r="Y208" s="56">
        <f t="shared" si="27"/>
        <v>48.3</v>
      </c>
      <c r="Z208" s="6">
        <v>53</v>
      </c>
      <c r="AA208" s="6">
        <v>51.4</v>
      </c>
      <c r="AB208" s="56">
        <f t="shared" si="26"/>
        <v>52.2</v>
      </c>
      <c r="AC208" s="6">
        <v>42.1</v>
      </c>
      <c r="AD208" s="6">
        <v>41.8</v>
      </c>
      <c r="AE208" s="56">
        <f t="shared" si="25"/>
        <v>41.95</v>
      </c>
      <c r="AF208" s="14" t="s">
        <v>391</v>
      </c>
      <c r="AG208" s="14" t="s">
        <v>314</v>
      </c>
      <c r="AH208" s="14" t="s">
        <v>189</v>
      </c>
      <c r="AI208" s="14" t="s">
        <v>641</v>
      </c>
      <c r="AJ208" s="14" t="s">
        <v>198</v>
      </c>
      <c r="AK208" s="14" t="s">
        <v>374</v>
      </c>
      <c r="AM208" s="11" t="s">
        <v>188</v>
      </c>
      <c r="AN208" s="11" t="s">
        <v>374</v>
      </c>
      <c r="AP208" s="1" t="s">
        <v>380</v>
      </c>
      <c r="AQ208" s="1" t="s">
        <v>189</v>
      </c>
      <c r="AR208" s="6">
        <v>5</v>
      </c>
      <c r="AS208" s="6" t="s">
        <v>641</v>
      </c>
      <c r="AT208" s="6" t="s">
        <v>198</v>
      </c>
      <c r="AU208" s="6">
        <v>5</v>
      </c>
      <c r="AV208" s="36"/>
      <c r="AW208" s="36"/>
      <c r="AX208" s="36"/>
      <c r="AY208" s="36"/>
      <c r="AZ208" s="36"/>
      <c r="BC208" s="24" t="str">
        <f t="shared" si="28"/>
        <v>Not Obese</v>
      </c>
      <c r="BD208" s="115"/>
      <c r="BE208" s="1" t="s">
        <v>1114</v>
      </c>
    </row>
    <row r="209" spans="1:63" ht="18.75" customHeight="1">
      <c r="A209" s="29" t="s">
        <v>1115</v>
      </c>
      <c r="B209" s="8">
        <v>45649</v>
      </c>
      <c r="C209" s="1" t="s">
        <v>84</v>
      </c>
      <c r="D209" s="6">
        <v>22</v>
      </c>
      <c r="G209" s="6" t="s">
        <v>63</v>
      </c>
      <c r="H209" s="33" t="str">
        <f t="shared" si="29"/>
        <v>No</v>
      </c>
      <c r="I209" s="33">
        <v>53.7</v>
      </c>
      <c r="J209" s="6">
        <v>22.1</v>
      </c>
      <c r="K209" s="6">
        <v>6</v>
      </c>
      <c r="L209" s="6">
        <v>1324</v>
      </c>
      <c r="M209" s="6">
        <v>28.8</v>
      </c>
      <c r="N209" s="6">
        <v>35.799999999999997</v>
      </c>
      <c r="O209" s="6">
        <v>23.1</v>
      </c>
      <c r="P209" s="6">
        <v>46.3</v>
      </c>
      <c r="Q209" s="6">
        <v>14.8</v>
      </c>
      <c r="R209" s="6">
        <v>19.2</v>
      </c>
      <c r="S209" s="6">
        <v>12.7</v>
      </c>
      <c r="T209" s="6">
        <v>19.2</v>
      </c>
      <c r="U209" s="6">
        <v>20.2</v>
      </c>
      <c r="V209" s="6">
        <v>47</v>
      </c>
      <c r="W209" s="6">
        <v>36.799999999999997</v>
      </c>
      <c r="X209" s="6">
        <v>35.799999999999997</v>
      </c>
      <c r="Y209" s="56">
        <f t="shared" si="27"/>
        <v>36.299999999999997</v>
      </c>
      <c r="Z209" s="6">
        <v>47.3</v>
      </c>
      <c r="AA209" s="6">
        <v>47.9</v>
      </c>
      <c r="AB209" s="56">
        <f t="shared" si="26"/>
        <v>47.599999999999994</v>
      </c>
      <c r="AC209" s="6">
        <v>43.9</v>
      </c>
      <c r="AD209" s="6">
        <v>44.2</v>
      </c>
      <c r="AE209" s="56">
        <f t="shared" si="25"/>
        <v>44.05</v>
      </c>
      <c r="AF209" s="14" t="s">
        <v>264</v>
      </c>
      <c r="AG209" s="14" t="s">
        <v>258</v>
      </c>
      <c r="AH209" s="14" t="s">
        <v>228</v>
      </c>
      <c r="AI209" s="14" t="s">
        <v>89</v>
      </c>
      <c r="AJ209" s="14" t="s">
        <v>95</v>
      </c>
      <c r="AK209" s="14" t="s">
        <v>753</v>
      </c>
      <c r="AM209" s="11" t="s">
        <v>264</v>
      </c>
      <c r="AN209" s="11" t="s">
        <v>753</v>
      </c>
      <c r="AP209" s="1" t="s">
        <v>258</v>
      </c>
      <c r="AQ209" s="1" t="s">
        <v>228</v>
      </c>
      <c r="AR209" s="6">
        <v>6</v>
      </c>
      <c r="AS209" s="6" t="s">
        <v>89</v>
      </c>
      <c r="AT209" s="6" t="s">
        <v>95</v>
      </c>
      <c r="AU209" s="6">
        <v>5</v>
      </c>
      <c r="AV209" s="36"/>
      <c r="AW209" s="36"/>
      <c r="AX209" s="36"/>
      <c r="AY209" s="36"/>
      <c r="AZ209" s="36"/>
      <c r="BB209" s="24" t="s">
        <v>1116</v>
      </c>
      <c r="BC209" s="24" t="str">
        <f t="shared" si="28"/>
        <v>Not Obese</v>
      </c>
      <c r="BD209" s="115"/>
      <c r="BE209" s="1" t="s">
        <v>1117</v>
      </c>
    </row>
    <row r="210" spans="1:63" ht="18.75" customHeight="1">
      <c r="A210" s="29" t="s">
        <v>1118</v>
      </c>
      <c r="B210" s="8">
        <v>45653</v>
      </c>
      <c r="C210" s="1" t="s">
        <v>117</v>
      </c>
      <c r="D210" s="54">
        <v>16</v>
      </c>
      <c r="E210" s="54">
        <v>20</v>
      </c>
      <c r="F210" s="54">
        <v>22</v>
      </c>
      <c r="G210" s="6" t="s">
        <v>63</v>
      </c>
      <c r="H210" s="33" t="str">
        <f t="shared" si="29"/>
        <v>Yes</v>
      </c>
      <c r="I210" s="33">
        <v>108</v>
      </c>
      <c r="J210" s="6">
        <v>37.299999999999997</v>
      </c>
      <c r="K210" s="6">
        <v>30</v>
      </c>
      <c r="L210" s="6">
        <v>2098</v>
      </c>
      <c r="M210" s="6">
        <v>25.4</v>
      </c>
      <c r="N210" s="6">
        <v>31.3</v>
      </c>
      <c r="O210" s="6">
        <v>16.100000000000001</v>
      </c>
      <c r="P210" s="6">
        <v>42.9</v>
      </c>
      <c r="Q210" s="6">
        <v>27.2</v>
      </c>
      <c r="R210" s="6">
        <v>35</v>
      </c>
      <c r="S210" s="6">
        <v>25.9</v>
      </c>
      <c r="T210" s="6">
        <v>36.1</v>
      </c>
      <c r="U210" s="6">
        <v>38.700000000000003</v>
      </c>
      <c r="V210" s="6">
        <v>75</v>
      </c>
      <c r="W210" s="6">
        <v>44.7</v>
      </c>
      <c r="X210" s="6">
        <v>47</v>
      </c>
      <c r="Y210" s="56">
        <f t="shared" si="27"/>
        <v>45.85</v>
      </c>
      <c r="Z210" s="6">
        <v>47.4</v>
      </c>
      <c r="AA210" s="6">
        <v>46.4</v>
      </c>
      <c r="AB210" s="56">
        <f t="shared" si="26"/>
        <v>46.9</v>
      </c>
      <c r="AC210" s="6">
        <v>45</v>
      </c>
      <c r="AD210" s="6">
        <v>45.4</v>
      </c>
      <c r="AE210" s="56">
        <f t="shared" si="25"/>
        <v>45.2</v>
      </c>
      <c r="AF210" s="14" t="s">
        <v>257</v>
      </c>
      <c r="AG210" s="14" t="s">
        <v>360</v>
      </c>
      <c r="AH210" s="14" t="s">
        <v>258</v>
      </c>
      <c r="AI210" s="14" t="s">
        <v>259</v>
      </c>
      <c r="AJ210" s="14" t="s">
        <v>260</v>
      </c>
      <c r="AK210" s="14" t="s">
        <v>261</v>
      </c>
      <c r="AM210" s="11" t="s">
        <v>257</v>
      </c>
      <c r="AN210" s="11" t="s">
        <v>261</v>
      </c>
      <c r="AO210" s="29" t="s">
        <v>769</v>
      </c>
      <c r="AP210" s="1" t="s">
        <v>360</v>
      </c>
      <c r="AQ210" s="1" t="s">
        <v>258</v>
      </c>
      <c r="AR210" s="6">
        <v>5</v>
      </c>
      <c r="AS210" s="6" t="s">
        <v>259</v>
      </c>
      <c r="AT210" s="6" t="s">
        <v>260</v>
      </c>
      <c r="AU210" s="6">
        <v>5</v>
      </c>
      <c r="AV210" s="36"/>
      <c r="AW210" s="36"/>
      <c r="AX210" s="36"/>
      <c r="AY210" s="36"/>
      <c r="AZ210" s="36"/>
      <c r="BB210" s="24" t="s">
        <v>1119</v>
      </c>
      <c r="BC210" s="24" t="str">
        <f t="shared" si="28"/>
        <v>Obese</v>
      </c>
      <c r="BD210" s="115"/>
      <c r="BE210" s="1" t="s">
        <v>1120</v>
      </c>
    </row>
    <row r="211" spans="1:63" ht="18.75" customHeight="1">
      <c r="A211" s="29" t="s">
        <v>1121</v>
      </c>
      <c r="B211" s="8">
        <v>45653</v>
      </c>
      <c r="C211" s="1" t="s">
        <v>62</v>
      </c>
      <c r="D211" s="6">
        <v>21</v>
      </c>
      <c r="G211" s="6" t="s">
        <v>63</v>
      </c>
      <c r="H211" s="33" t="str">
        <f t="shared" si="29"/>
        <v>No</v>
      </c>
      <c r="I211" s="33">
        <v>65.3</v>
      </c>
      <c r="J211" s="6">
        <v>22.1</v>
      </c>
      <c r="K211" s="6">
        <v>9.5</v>
      </c>
      <c r="L211" s="6">
        <v>1523</v>
      </c>
      <c r="M211" s="6">
        <v>31.1</v>
      </c>
      <c r="N211" s="6">
        <v>37.1</v>
      </c>
      <c r="O211" s="6">
        <v>24.8</v>
      </c>
      <c r="P211" s="6">
        <v>48.5</v>
      </c>
      <c r="Q211" s="6">
        <v>15.3</v>
      </c>
      <c r="R211" s="6">
        <v>20.5</v>
      </c>
      <c r="S211" s="6">
        <v>13.6</v>
      </c>
      <c r="T211" s="6">
        <v>20.399999999999999</v>
      </c>
      <c r="U211" s="6">
        <v>23.7</v>
      </c>
      <c r="V211" s="6">
        <v>45</v>
      </c>
      <c r="W211" s="6">
        <v>36.799999999999997</v>
      </c>
      <c r="X211" s="6">
        <v>37.700000000000003</v>
      </c>
      <c r="Y211" s="56">
        <f t="shared" si="27"/>
        <v>37.25</v>
      </c>
      <c r="Z211" s="6">
        <v>42.9</v>
      </c>
      <c r="AA211" s="6">
        <v>43.6</v>
      </c>
      <c r="AB211" s="56">
        <f t="shared" si="26"/>
        <v>43.25</v>
      </c>
      <c r="AC211" s="6">
        <v>42.8</v>
      </c>
      <c r="AD211" s="6">
        <v>42.4</v>
      </c>
      <c r="AE211" s="56">
        <f t="shared" si="25"/>
        <v>42.599999999999994</v>
      </c>
      <c r="AF211" s="14" t="s">
        <v>206</v>
      </c>
      <c r="AG211" s="14" t="s">
        <v>433</v>
      </c>
      <c r="AH211" s="14" t="s">
        <v>93</v>
      </c>
      <c r="AI211" s="14" t="s">
        <v>749</v>
      </c>
      <c r="AJ211" s="14" t="s">
        <v>302</v>
      </c>
      <c r="AK211" s="14" t="s">
        <v>615</v>
      </c>
      <c r="AM211" s="11" t="s">
        <v>206</v>
      </c>
      <c r="AN211" s="11" t="s">
        <v>615</v>
      </c>
      <c r="AP211" s="1" t="s">
        <v>433</v>
      </c>
      <c r="AQ211" s="1" t="s">
        <v>93</v>
      </c>
      <c r="AR211" s="6">
        <v>5</v>
      </c>
      <c r="AS211" s="6" t="s">
        <v>749</v>
      </c>
      <c r="AT211" s="6" t="s">
        <v>302</v>
      </c>
      <c r="AU211" s="6">
        <v>5</v>
      </c>
      <c r="AV211" s="36"/>
      <c r="AW211" s="36"/>
      <c r="AX211" s="36"/>
      <c r="AY211" s="36"/>
      <c r="AZ211" s="36"/>
      <c r="BB211" s="24" t="s">
        <v>1122</v>
      </c>
      <c r="BC211" s="24" t="str">
        <f t="shared" si="28"/>
        <v>Not Obese</v>
      </c>
      <c r="BD211" s="115"/>
      <c r="BE211" s="1" t="s">
        <v>1123</v>
      </c>
    </row>
    <row r="212" spans="1:63" ht="18.75" customHeight="1">
      <c r="A212" s="29" t="s">
        <v>1124</v>
      </c>
      <c r="B212" s="8">
        <v>45654</v>
      </c>
      <c r="C212" s="1" t="s">
        <v>117</v>
      </c>
      <c r="D212" s="54">
        <v>28</v>
      </c>
      <c r="E212" s="54">
        <v>30</v>
      </c>
      <c r="F212" s="54">
        <v>30</v>
      </c>
      <c r="G212" s="6" t="s">
        <v>85</v>
      </c>
      <c r="H212" s="33" t="str">
        <f t="shared" si="29"/>
        <v>No</v>
      </c>
      <c r="I212" s="33">
        <v>59.4</v>
      </c>
      <c r="J212" s="6">
        <v>27.4</v>
      </c>
      <c r="K212" s="6">
        <v>3</v>
      </c>
      <c r="L212" s="6">
        <v>1278</v>
      </c>
      <c r="M212" s="6">
        <v>27.4</v>
      </c>
      <c r="N212" s="6">
        <v>29.5</v>
      </c>
      <c r="O212" s="6">
        <v>21.2</v>
      </c>
      <c r="P212" s="6">
        <v>40</v>
      </c>
      <c r="Q212" s="6">
        <v>23</v>
      </c>
      <c r="R212" s="6">
        <v>37.5</v>
      </c>
      <c r="S212" s="6">
        <v>19.100000000000001</v>
      </c>
      <c r="T212" s="6">
        <v>31.2</v>
      </c>
      <c r="U212" s="6">
        <v>20.6</v>
      </c>
      <c r="V212" s="6">
        <v>47</v>
      </c>
      <c r="W212" s="6">
        <v>38.4</v>
      </c>
      <c r="X212" s="6">
        <v>38.700000000000003</v>
      </c>
      <c r="Y212" s="56">
        <f t="shared" si="27"/>
        <v>38.549999999999997</v>
      </c>
      <c r="Z212" s="6">
        <v>47.2</v>
      </c>
      <c r="AA212" s="6">
        <v>46.1</v>
      </c>
      <c r="AB212" s="56">
        <f t="shared" si="26"/>
        <v>46.650000000000006</v>
      </c>
      <c r="AC212" s="6">
        <v>46.7</v>
      </c>
      <c r="AD212" s="6">
        <v>46.5</v>
      </c>
      <c r="AE212" s="56">
        <f t="shared" si="25"/>
        <v>46.6</v>
      </c>
      <c r="AF212" s="14" t="s">
        <v>666</v>
      </c>
      <c r="AG212" s="14" t="s">
        <v>172</v>
      </c>
      <c r="AH212" s="14" t="s">
        <v>408</v>
      </c>
      <c r="AI212" s="14" t="s">
        <v>350</v>
      </c>
      <c r="AJ212" s="14" t="s">
        <v>316</v>
      </c>
      <c r="AK212" s="14" t="s">
        <v>924</v>
      </c>
      <c r="AM212" s="11" t="s">
        <v>666</v>
      </c>
      <c r="AN212" s="11" t="s">
        <v>924</v>
      </c>
      <c r="AP212" s="1" t="s">
        <v>348</v>
      </c>
      <c r="AQ212" s="1" t="s">
        <v>408</v>
      </c>
      <c r="AR212" s="6">
        <v>5</v>
      </c>
      <c r="AS212" s="6" t="s">
        <v>350</v>
      </c>
      <c r="AT212" s="6" t="s">
        <v>316</v>
      </c>
      <c r="AU212" s="6">
        <v>5</v>
      </c>
      <c r="AV212" s="36"/>
      <c r="AW212" s="36"/>
      <c r="AX212" s="36"/>
      <c r="AY212" s="36"/>
      <c r="AZ212" s="36"/>
      <c r="BB212" s="24" t="s">
        <v>1125</v>
      </c>
      <c r="BC212" s="24" t="str">
        <f t="shared" si="28"/>
        <v>Not Obese</v>
      </c>
      <c r="BD212" s="115"/>
      <c r="BE212" s="29" t="s">
        <v>1126</v>
      </c>
      <c r="BF212" s="29"/>
      <c r="BG212" s="29"/>
      <c r="BH212" s="29"/>
      <c r="BI212" s="29"/>
      <c r="BJ212" s="29"/>
      <c r="BK212" s="29"/>
    </row>
    <row r="213" spans="1:63" ht="18.75" customHeight="1">
      <c r="A213" s="29" t="s">
        <v>1127</v>
      </c>
      <c r="B213" s="8">
        <v>45654</v>
      </c>
      <c r="C213" s="1" t="s">
        <v>62</v>
      </c>
      <c r="D213" s="54">
        <v>29</v>
      </c>
      <c r="E213" s="54">
        <v>39</v>
      </c>
      <c r="F213" s="54">
        <v>34</v>
      </c>
      <c r="G213" s="77" t="s">
        <v>63</v>
      </c>
      <c r="H213" s="33" t="str">
        <f t="shared" si="29"/>
        <v>Yes</v>
      </c>
      <c r="I213" s="33">
        <v>87.3</v>
      </c>
      <c r="J213" s="6">
        <v>26.7</v>
      </c>
      <c r="K213" s="6">
        <v>14.5</v>
      </c>
      <c r="L213" s="6">
        <v>1863</v>
      </c>
      <c r="M213" s="6">
        <v>30.9</v>
      </c>
      <c r="N213" s="6">
        <v>34.9</v>
      </c>
      <c r="O213" s="6">
        <v>23.3</v>
      </c>
      <c r="P213" s="6">
        <v>48.2</v>
      </c>
      <c r="Q213" s="6">
        <v>18.8</v>
      </c>
      <c r="R213" s="6">
        <v>23.4</v>
      </c>
      <c r="S213" s="6">
        <v>17.2</v>
      </c>
      <c r="T213" s="6">
        <v>23.7</v>
      </c>
      <c r="U213" s="6">
        <v>27.6</v>
      </c>
      <c r="V213" s="6">
        <v>58</v>
      </c>
      <c r="W213" s="6">
        <v>40</v>
      </c>
      <c r="X213" s="6">
        <v>40.9</v>
      </c>
      <c r="Y213" s="56">
        <f t="shared" si="27"/>
        <v>40.450000000000003</v>
      </c>
      <c r="Z213" s="6">
        <v>46.5</v>
      </c>
      <c r="AA213" s="6">
        <v>46.3</v>
      </c>
      <c r="AB213" s="56">
        <f t="shared" si="26"/>
        <v>46.4</v>
      </c>
      <c r="AC213" s="6">
        <v>50.7</v>
      </c>
      <c r="AD213" s="6">
        <v>50</v>
      </c>
      <c r="AE213" s="56">
        <f t="shared" si="25"/>
        <v>50.35</v>
      </c>
      <c r="AF213" s="14" t="s">
        <v>306</v>
      </c>
      <c r="AG213" s="14" t="s">
        <v>624</v>
      </c>
      <c r="AH213" s="14" t="s">
        <v>631</v>
      </c>
      <c r="AI213" s="14" t="s">
        <v>625</v>
      </c>
      <c r="AJ213" s="14" t="s">
        <v>364</v>
      </c>
      <c r="AK213" s="14" t="s">
        <v>672</v>
      </c>
      <c r="AM213" s="11" t="s">
        <v>306</v>
      </c>
      <c r="AN213" s="11" t="s">
        <v>672</v>
      </c>
      <c r="AP213" s="1" t="s">
        <v>624</v>
      </c>
      <c r="AQ213" s="1" t="s">
        <v>631</v>
      </c>
      <c r="AR213" s="6">
        <v>5</v>
      </c>
      <c r="AS213" s="6" t="s">
        <v>625</v>
      </c>
      <c r="AT213" s="6" t="s">
        <v>364</v>
      </c>
      <c r="AU213" s="6">
        <v>5</v>
      </c>
      <c r="AV213" s="36"/>
      <c r="AW213" s="36"/>
      <c r="AX213" s="36"/>
      <c r="AY213" s="36"/>
      <c r="AZ213" s="36"/>
      <c r="BB213" s="24" t="s">
        <v>1128</v>
      </c>
      <c r="BC213" s="24" t="str">
        <f t="shared" si="28"/>
        <v>Obese</v>
      </c>
      <c r="BD213" s="115"/>
      <c r="BE213" s="1" t="s">
        <v>1129</v>
      </c>
    </row>
    <row r="214" spans="1:63" ht="18.75" customHeight="1">
      <c r="A214" s="29" t="s">
        <v>1130</v>
      </c>
      <c r="B214" s="8">
        <v>45654</v>
      </c>
      <c r="C214" s="1" t="s">
        <v>84</v>
      </c>
      <c r="D214" s="54">
        <v>25</v>
      </c>
      <c r="E214" s="54">
        <v>28</v>
      </c>
      <c r="F214" s="54">
        <v>27</v>
      </c>
      <c r="G214" s="6" t="s">
        <v>63</v>
      </c>
      <c r="H214" s="33" t="str">
        <f t="shared" si="29"/>
        <v>Yes</v>
      </c>
      <c r="I214" s="33">
        <v>70.900000000000006</v>
      </c>
      <c r="J214" s="6">
        <v>27.3</v>
      </c>
      <c r="K214" s="6">
        <v>11</v>
      </c>
      <c r="L214" s="6">
        <v>1589</v>
      </c>
      <c r="M214" s="6">
        <v>29.4</v>
      </c>
      <c r="N214" s="6">
        <v>35.6</v>
      </c>
      <c r="O214" s="6">
        <v>35.6</v>
      </c>
      <c r="P214" s="6">
        <v>46.8</v>
      </c>
      <c r="Q214" s="6">
        <v>18.7</v>
      </c>
      <c r="R214" s="6">
        <v>25.4</v>
      </c>
      <c r="S214" s="6">
        <v>16.7</v>
      </c>
      <c r="T214" s="6">
        <v>25.7</v>
      </c>
      <c r="U214" s="6">
        <v>24.5</v>
      </c>
      <c r="V214" s="6">
        <v>51</v>
      </c>
      <c r="W214" s="6">
        <v>37.5</v>
      </c>
      <c r="X214" s="6">
        <v>38.4</v>
      </c>
      <c r="Y214" s="56">
        <f t="shared" si="27"/>
        <v>37.950000000000003</v>
      </c>
      <c r="Z214" s="6">
        <v>47</v>
      </c>
      <c r="AA214" s="6">
        <v>46.3</v>
      </c>
      <c r="AB214" s="56">
        <f t="shared" si="26"/>
        <v>46.65</v>
      </c>
      <c r="AC214" s="6">
        <v>45.7</v>
      </c>
      <c r="AD214" s="6">
        <v>45.9</v>
      </c>
      <c r="AE214" s="56">
        <f t="shared" si="25"/>
        <v>45.8</v>
      </c>
      <c r="AF214" s="14" t="s">
        <v>645</v>
      </c>
      <c r="AG214" s="14" t="s">
        <v>249</v>
      </c>
      <c r="AH214" s="14" t="s">
        <v>178</v>
      </c>
      <c r="AI214" s="14" t="s">
        <v>250</v>
      </c>
      <c r="AJ214" s="14" t="s">
        <v>173</v>
      </c>
      <c r="AK214" s="14" t="s">
        <v>251</v>
      </c>
      <c r="AM214" s="11" t="s">
        <v>645</v>
      </c>
      <c r="AN214" s="11" t="s">
        <v>251</v>
      </c>
      <c r="AP214" s="1" t="s">
        <v>249</v>
      </c>
      <c r="AQ214" s="1" t="s">
        <v>178</v>
      </c>
      <c r="AR214" s="6">
        <v>5</v>
      </c>
      <c r="AS214" s="6" t="s">
        <v>250</v>
      </c>
      <c r="AT214" s="6" t="s">
        <v>173</v>
      </c>
      <c r="AU214" s="6">
        <v>5</v>
      </c>
      <c r="AV214" s="36"/>
      <c r="AW214" s="36"/>
      <c r="AX214" s="36"/>
      <c r="AY214" s="36"/>
      <c r="AZ214" s="36"/>
      <c r="BB214" s="24" t="s">
        <v>1131</v>
      </c>
      <c r="BC214" s="24" t="str">
        <f t="shared" si="28"/>
        <v>Not Obese</v>
      </c>
      <c r="BD214" s="115"/>
      <c r="BE214" s="1" t="s">
        <v>1132</v>
      </c>
    </row>
    <row r="215" spans="1:63" ht="18.75" customHeight="1">
      <c r="A215" s="29" t="s">
        <v>1133</v>
      </c>
      <c r="B215" s="8">
        <v>45656</v>
      </c>
      <c r="C215" s="1" t="s">
        <v>62</v>
      </c>
      <c r="D215" s="6">
        <v>15</v>
      </c>
      <c r="G215" s="6" t="s">
        <v>63</v>
      </c>
      <c r="H215" s="33" t="str">
        <f t="shared" si="29"/>
        <v>Yes</v>
      </c>
      <c r="I215" s="33">
        <v>76.900000000000006</v>
      </c>
      <c r="J215" s="6">
        <v>27.4</v>
      </c>
      <c r="K215" s="6">
        <v>13</v>
      </c>
      <c r="L215" s="6">
        <v>1687</v>
      </c>
      <c r="M215" s="6">
        <v>29.8</v>
      </c>
      <c r="N215" s="6">
        <v>35.700000000000003</v>
      </c>
      <c r="O215" s="6">
        <v>22.3</v>
      </c>
      <c r="P215" s="6">
        <v>47.2</v>
      </c>
      <c r="Q215" s="6">
        <v>19.2</v>
      </c>
      <c r="R215" s="6">
        <v>26</v>
      </c>
      <c r="S215" s="6">
        <v>17.5</v>
      </c>
      <c r="T215" s="6">
        <v>26.2</v>
      </c>
      <c r="U215" s="6">
        <v>27.2</v>
      </c>
      <c r="V215" s="6">
        <v>51</v>
      </c>
      <c r="W215" s="6">
        <v>36.200000000000003</v>
      </c>
      <c r="X215" s="6">
        <v>36.299999999999997</v>
      </c>
      <c r="Y215" s="56">
        <f t="shared" si="27"/>
        <v>36.25</v>
      </c>
      <c r="Z215" s="6">
        <v>50.4</v>
      </c>
      <c r="AA215" s="6">
        <v>50.4</v>
      </c>
      <c r="AB215" s="56">
        <f t="shared" si="26"/>
        <v>50.4</v>
      </c>
      <c r="AC215" s="6">
        <v>45.1</v>
      </c>
      <c r="AD215" s="6">
        <v>44.7</v>
      </c>
      <c r="AE215" s="56">
        <f t="shared" si="25"/>
        <v>44.900000000000006</v>
      </c>
      <c r="AF215" s="14" t="s">
        <v>257</v>
      </c>
      <c r="AG215" s="14" t="s">
        <v>360</v>
      </c>
      <c r="AH215" s="14" t="s">
        <v>202</v>
      </c>
      <c r="AI215" s="14" t="s">
        <v>203</v>
      </c>
      <c r="AJ215" s="14" t="s">
        <v>89</v>
      </c>
      <c r="AK215" s="14" t="s">
        <v>204</v>
      </c>
      <c r="AM215" s="11" t="s">
        <v>257</v>
      </c>
      <c r="AN215" s="11" t="s">
        <v>204</v>
      </c>
      <c r="AP215" s="1" t="s">
        <v>338</v>
      </c>
      <c r="AQ215" s="1" t="s">
        <v>202</v>
      </c>
      <c r="AR215" s="6">
        <v>5</v>
      </c>
      <c r="AS215" s="6" t="s">
        <v>203</v>
      </c>
      <c r="AT215" s="6" t="s">
        <v>89</v>
      </c>
      <c r="AU215" s="6">
        <v>5</v>
      </c>
      <c r="AV215" s="36"/>
      <c r="AW215" s="36"/>
      <c r="AX215" s="36"/>
      <c r="AY215" s="36"/>
      <c r="AZ215" s="36"/>
      <c r="BB215" s="24" t="s">
        <v>1134</v>
      </c>
      <c r="BC215" s="24" t="str">
        <f t="shared" si="28"/>
        <v>Obese</v>
      </c>
      <c r="BD215" s="115"/>
      <c r="BE215" s="1" t="s">
        <v>1135</v>
      </c>
    </row>
    <row r="216" spans="1:63" ht="18.75" customHeight="1">
      <c r="A216" s="29" t="s">
        <v>1136</v>
      </c>
      <c r="B216" s="8">
        <v>45656</v>
      </c>
      <c r="C216" s="1" t="s">
        <v>84</v>
      </c>
      <c r="D216" s="6">
        <v>18</v>
      </c>
      <c r="G216" s="6" t="s">
        <v>63</v>
      </c>
      <c r="H216" s="33" t="str">
        <f t="shared" si="29"/>
        <v>Yes</v>
      </c>
      <c r="I216" s="33">
        <v>80.8</v>
      </c>
      <c r="J216" s="6">
        <v>31.6</v>
      </c>
      <c r="K216" s="6">
        <v>18</v>
      </c>
      <c r="L216" s="6">
        <v>1716</v>
      </c>
      <c r="M216" s="6">
        <v>27</v>
      </c>
      <c r="N216" s="6">
        <v>33.299999999999997</v>
      </c>
      <c r="O216" s="6">
        <v>19</v>
      </c>
      <c r="P216" s="6">
        <v>44.5</v>
      </c>
      <c r="Q216" s="6">
        <v>22</v>
      </c>
      <c r="R216" s="6">
        <v>28.4</v>
      </c>
      <c r="S216" s="6">
        <v>20.100000000000001</v>
      </c>
      <c r="T216" s="6">
        <v>29.1</v>
      </c>
      <c r="U216" s="6">
        <v>28.3</v>
      </c>
      <c r="V216" s="6">
        <v>67</v>
      </c>
      <c r="W216" s="6">
        <v>39.799999999999997</v>
      </c>
      <c r="X216" s="6">
        <v>38.9</v>
      </c>
      <c r="Y216" s="56">
        <f t="shared" si="27"/>
        <v>39.349999999999994</v>
      </c>
      <c r="Z216" s="6">
        <v>47.8</v>
      </c>
      <c r="AA216" s="6">
        <v>48.4</v>
      </c>
      <c r="AB216" s="56">
        <f t="shared" si="26"/>
        <v>48.099999999999994</v>
      </c>
      <c r="AC216" s="6">
        <v>46</v>
      </c>
      <c r="AD216" s="6">
        <v>46</v>
      </c>
      <c r="AE216" s="56">
        <f t="shared" si="25"/>
        <v>46</v>
      </c>
      <c r="AF216" s="14" t="s">
        <v>654</v>
      </c>
      <c r="AG216" s="14" t="s">
        <v>379</v>
      </c>
      <c r="AH216" s="14" t="s">
        <v>171</v>
      </c>
      <c r="AI216" s="14" t="s">
        <v>250</v>
      </c>
      <c r="AJ216" s="14" t="s">
        <v>173</v>
      </c>
      <c r="AK216" s="14" t="s">
        <v>649</v>
      </c>
      <c r="AM216" s="11" t="s">
        <v>654</v>
      </c>
      <c r="AN216" s="11" t="s">
        <v>649</v>
      </c>
      <c r="AP216" s="1" t="s">
        <v>379</v>
      </c>
      <c r="AQ216" s="1" t="s">
        <v>171</v>
      </c>
      <c r="AR216" s="6">
        <v>5</v>
      </c>
      <c r="AS216" s="6" t="s">
        <v>250</v>
      </c>
      <c r="AT216" s="6" t="s">
        <v>173</v>
      </c>
      <c r="AU216" s="6">
        <v>5</v>
      </c>
      <c r="AV216" s="36"/>
      <c r="AW216" s="36"/>
      <c r="AX216" s="36"/>
      <c r="AY216" s="36"/>
      <c r="AZ216" s="36"/>
      <c r="BB216" s="24" t="s">
        <v>1137</v>
      </c>
      <c r="BC216" s="24" t="str">
        <f t="shared" si="28"/>
        <v>Obese</v>
      </c>
      <c r="BD216" s="115"/>
      <c r="BE216" s="1" t="s">
        <v>1117</v>
      </c>
    </row>
    <row r="217" spans="1:63" s="100" customFormat="1" ht="18.75" customHeight="1">
      <c r="A217" s="29" t="s">
        <v>1138</v>
      </c>
      <c r="B217" s="101"/>
      <c r="D217" s="101"/>
      <c r="E217" s="101"/>
      <c r="F217" s="101"/>
      <c r="G217" s="101" t="s">
        <v>63</v>
      </c>
      <c r="H217" s="102"/>
      <c r="I217" s="33">
        <v>61.9</v>
      </c>
      <c r="J217" s="116">
        <v>19.7</v>
      </c>
      <c r="K217" s="116">
        <v>5</v>
      </c>
      <c r="L217" s="116">
        <v>1481</v>
      </c>
      <c r="M217" s="116">
        <v>32.4</v>
      </c>
      <c r="N217" s="116">
        <v>38.200000000000003</v>
      </c>
      <c r="O217" s="116">
        <v>26.5</v>
      </c>
      <c r="P217" s="116">
        <v>49.7</v>
      </c>
      <c r="Q217" s="116">
        <v>13.3</v>
      </c>
      <c r="R217" s="116">
        <v>18.2</v>
      </c>
      <c r="S217" s="116">
        <v>11.4</v>
      </c>
      <c r="T217" s="116">
        <v>17.8</v>
      </c>
      <c r="U217" s="6">
        <v>20</v>
      </c>
      <c r="V217" s="116">
        <v>39</v>
      </c>
      <c r="W217" s="116">
        <v>35.6</v>
      </c>
      <c r="X217" s="116">
        <v>35.299999999999997</v>
      </c>
      <c r="Y217" s="56">
        <f t="shared" si="27"/>
        <v>35.450000000000003</v>
      </c>
      <c r="Z217" s="116">
        <v>46.7</v>
      </c>
      <c r="AA217" s="116">
        <v>45.2</v>
      </c>
      <c r="AB217" s="56">
        <f t="shared" si="26"/>
        <v>45.95</v>
      </c>
      <c r="AC217" s="116">
        <v>48</v>
      </c>
      <c r="AD217" s="116">
        <v>48.4</v>
      </c>
      <c r="AE217" s="56">
        <f t="shared" si="25"/>
        <v>48.2</v>
      </c>
      <c r="AF217" s="103"/>
      <c r="AG217" s="103"/>
      <c r="AH217" s="103"/>
      <c r="AI217" s="103"/>
      <c r="AJ217" s="103"/>
      <c r="AK217" s="103"/>
      <c r="AM217" s="104"/>
      <c r="AN217" s="104"/>
      <c r="AR217" s="101"/>
      <c r="AS217" s="101"/>
      <c r="AT217" s="101"/>
      <c r="AU217" s="101"/>
      <c r="AV217" s="101"/>
      <c r="AW217" s="101"/>
      <c r="AX217" s="101"/>
      <c r="AY217" s="101"/>
      <c r="AZ217" s="101"/>
      <c r="BA217" s="101"/>
      <c r="BB217" s="105"/>
      <c r="BC217" s="105"/>
    </row>
    <row r="218" spans="1:63" s="100" customFormat="1" ht="18.75" customHeight="1">
      <c r="B218" s="101"/>
      <c r="D218" s="101"/>
      <c r="E218" s="101"/>
      <c r="F218" s="101"/>
      <c r="G218" s="101"/>
      <c r="H218" s="102"/>
      <c r="I218" s="102"/>
      <c r="J218" s="101"/>
      <c r="K218" s="101"/>
      <c r="L218" s="101"/>
      <c r="M218" s="101"/>
      <c r="N218" s="101"/>
      <c r="O218" s="101"/>
      <c r="P218" s="101"/>
      <c r="Q218" s="101"/>
      <c r="R218" s="101"/>
      <c r="S218" s="101"/>
      <c r="T218" s="101"/>
      <c r="U218" s="101"/>
      <c r="V218" s="101"/>
      <c r="W218" s="101"/>
      <c r="X218" s="101"/>
      <c r="Y218" s="101"/>
      <c r="Z218" s="101"/>
      <c r="AA218" s="101"/>
      <c r="AB218" s="101"/>
      <c r="AC218" s="101"/>
      <c r="AD218" s="101"/>
      <c r="AE218" s="101"/>
      <c r="AF218" s="103"/>
      <c r="AG218" s="103"/>
      <c r="AH218" s="103"/>
      <c r="AI218" s="103"/>
      <c r="AJ218" s="103"/>
      <c r="AK218" s="103"/>
      <c r="AM218" s="104"/>
      <c r="AN218" s="104"/>
      <c r="AR218" s="101"/>
      <c r="AS218" s="101"/>
      <c r="AT218" s="101"/>
      <c r="AU218" s="101"/>
      <c r="AV218" s="101"/>
      <c r="AW218" s="101"/>
      <c r="AX218" s="101"/>
      <c r="AY218" s="101"/>
      <c r="AZ218" s="101"/>
      <c r="BA218" s="101"/>
      <c r="BB218" s="105"/>
      <c r="BC218" s="105"/>
    </row>
  </sheetData>
  <autoFilter ref="D1:D218" xr:uid="{FF71D1B2-08B9-DA42-82A5-120AB4E517AD}"/>
  <mergeCells count="10">
    <mergeCell ref="E120:F120"/>
    <mergeCell ref="E196:F196"/>
    <mergeCell ref="BD2:BK2"/>
    <mergeCell ref="B1:D1"/>
    <mergeCell ref="AF1:AL1"/>
    <mergeCell ref="AM1:AO1"/>
    <mergeCell ref="AV1:BA1"/>
    <mergeCell ref="AP1:AU1"/>
    <mergeCell ref="I1:V1"/>
    <mergeCell ref="W1:AE1"/>
  </mergeCells>
  <phoneticPr fontId="1" type="noConversion"/>
  <conditionalFormatting sqref="C1:C1048576">
    <cfRule type="cellIs" dxfId="6" priority="4" operator="equal">
      <formula>"3F"</formula>
    </cfRule>
    <cfRule type="cellIs" dxfId="5" priority="5" operator="equal">
      <formula>"3D"</formula>
    </cfRule>
    <cfRule type="cellIs" dxfId="4" priority="6" operator="equal">
      <formula>"2F"</formula>
    </cfRule>
    <cfRule type="cellIs" dxfId="3" priority="7" operator="equal">
      <formula>"2D"</formula>
    </cfRule>
  </conditionalFormatting>
  <conditionalFormatting sqref="U3:U217">
    <cfRule type="cellIs" dxfId="2" priority="1" operator="lessThanOrEqual">
      <formula>18.4</formula>
    </cfRule>
    <cfRule type="cellIs" dxfId="1" priority="3" operator="between">
      <formula>18.5</formula>
      <formula>24.9</formula>
    </cfRule>
    <cfRule type="cellIs" dxfId="0" priority="8" operator="greaterThanOrEqual">
      <formula>25</formula>
    </cfRule>
  </conditionalFormatting>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1">
        <x14:dataValidation type="list" allowBlank="1" showInputMessage="1" showErrorMessage="1" xr:uid="{4B90B1B1-C87C-344C-AB58-DCFAB66820FD}">
          <x14:formula1>
            <xm:f>Dropdown!$A$2:$A$5</xm:f>
          </x14:formula1>
          <xm:sqref>C2:C1048576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34310-DEDD-7243-929A-BBC506346A75}">
  <dimension ref="A1:AL227"/>
  <sheetViews>
    <sheetView workbookViewId="0">
      <pane xSplit="1" topLeftCell="B1" activePane="topRight" state="frozen"/>
      <selection activeCell="A2" sqref="A2"/>
      <selection pane="topRight" activeCell="D43" sqref="D43"/>
    </sheetView>
  </sheetViews>
  <sheetFormatPr defaultColWidth="8.875" defaultRowHeight="15.75"/>
  <cols>
    <col min="1" max="1" width="12" bestFit="1" customWidth="1"/>
    <col min="2" max="2" width="12" style="119" customWidth="1"/>
    <col min="3" max="3" width="12" customWidth="1"/>
    <col min="4" max="4" width="24" style="43" bestFit="1" customWidth="1"/>
    <col min="5" max="5" width="8.875" style="135"/>
    <col min="6" max="7" width="8.875" style="42"/>
    <col min="9" max="9" width="14.875" bestFit="1" customWidth="1"/>
    <col min="14" max="14" width="12.375" customWidth="1"/>
    <col min="16" max="16" width="41" style="108" bestFit="1" customWidth="1"/>
    <col min="19" max="19" width="17" customWidth="1"/>
    <col min="23" max="23" width="19.625" customWidth="1"/>
    <col min="25" max="25" width="54.875" customWidth="1"/>
    <col min="26" max="26" width="20.375" style="108" customWidth="1"/>
  </cols>
  <sheetData>
    <row r="1" spans="1:36">
      <c r="A1" s="85" t="s">
        <v>1139</v>
      </c>
      <c r="B1" s="118" t="s">
        <v>1140</v>
      </c>
      <c r="C1" s="85"/>
      <c r="D1" s="86" t="s">
        <v>1141</v>
      </c>
      <c r="E1" s="131" t="s">
        <v>1142</v>
      </c>
      <c r="F1" s="40" t="s">
        <v>1143</v>
      </c>
      <c r="G1" s="40" t="s">
        <v>1144</v>
      </c>
      <c r="H1" s="85" t="s">
        <v>1145</v>
      </c>
      <c r="I1" s="85" t="s">
        <v>1146</v>
      </c>
      <c r="J1" s="85" t="s">
        <v>1147</v>
      </c>
      <c r="K1" s="85" t="s">
        <v>1148</v>
      </c>
      <c r="L1" s="85" t="s">
        <v>1149</v>
      </c>
      <c r="M1" s="85" t="s">
        <v>1150</v>
      </c>
      <c r="N1" s="85" t="s">
        <v>1151</v>
      </c>
      <c r="O1" s="85" t="s">
        <v>1152</v>
      </c>
      <c r="P1" s="108" t="s">
        <v>1153</v>
      </c>
      <c r="Q1" s="85" t="s">
        <v>1154</v>
      </c>
      <c r="R1" s="85" t="s">
        <v>1155</v>
      </c>
      <c r="S1" s="85" t="s">
        <v>1156</v>
      </c>
      <c r="T1" s="85" t="s">
        <v>1157</v>
      </c>
      <c r="U1" s="85" t="s">
        <v>1158</v>
      </c>
      <c r="V1" s="85" t="s">
        <v>1159</v>
      </c>
      <c r="W1" s="85" t="s">
        <v>1160</v>
      </c>
      <c r="X1" s="85" t="s">
        <v>1161</v>
      </c>
      <c r="Y1" s="85" t="s">
        <v>1162</v>
      </c>
      <c r="Z1" s="108" t="s">
        <v>1163</v>
      </c>
      <c r="AA1" s="85" t="s">
        <v>1164</v>
      </c>
      <c r="AJ1" s="50"/>
    </row>
    <row r="2" spans="1:36">
      <c r="A2" s="87" t="s">
        <v>106</v>
      </c>
      <c r="B2" s="119">
        <v>1</v>
      </c>
      <c r="C2" s="50" t="s">
        <v>1165</v>
      </c>
      <c r="D2" s="88" t="s">
        <v>1166</v>
      </c>
      <c r="E2" s="132" t="s">
        <v>85</v>
      </c>
      <c r="F2" s="90" t="s">
        <v>1167</v>
      </c>
      <c r="G2" s="90" t="s">
        <v>1168</v>
      </c>
      <c r="H2">
        <v>50</v>
      </c>
      <c r="I2" s="89" t="s">
        <v>1169</v>
      </c>
      <c r="J2" s="89" t="s">
        <v>1170</v>
      </c>
      <c r="K2" s="89" t="s">
        <v>1171</v>
      </c>
      <c r="L2" s="89" t="s">
        <v>1172</v>
      </c>
      <c r="M2" s="89" t="s">
        <v>1173</v>
      </c>
      <c r="N2" s="89" t="s">
        <v>1172</v>
      </c>
      <c r="O2" s="89" t="s">
        <v>1173</v>
      </c>
      <c r="P2" s="109" t="s">
        <v>1174</v>
      </c>
      <c r="Q2" s="89" t="s">
        <v>1175</v>
      </c>
      <c r="R2" s="89" t="s">
        <v>578</v>
      </c>
      <c r="S2" s="89" t="s">
        <v>1176</v>
      </c>
      <c r="T2" s="89" t="s">
        <v>1177</v>
      </c>
      <c r="U2" s="89" t="s">
        <v>1173</v>
      </c>
      <c r="V2" s="89" t="s">
        <v>1173</v>
      </c>
      <c r="W2" s="89" t="s">
        <v>1174</v>
      </c>
      <c r="X2" s="89" t="s">
        <v>1172</v>
      </c>
      <c r="Y2" s="89" t="s">
        <v>1173</v>
      </c>
      <c r="Z2" s="109" t="s">
        <v>1178</v>
      </c>
      <c r="AA2" s="89" t="s">
        <v>578</v>
      </c>
      <c r="AJ2" s="50"/>
    </row>
    <row r="3" spans="1:36">
      <c r="A3" s="87" t="s">
        <v>140</v>
      </c>
      <c r="B3" s="119">
        <v>1</v>
      </c>
      <c r="C3" s="50" t="s">
        <v>1179</v>
      </c>
      <c r="D3" s="88" t="s">
        <v>1179</v>
      </c>
      <c r="E3" s="132" t="s">
        <v>63</v>
      </c>
      <c r="F3" s="90" t="s">
        <v>1180</v>
      </c>
      <c r="G3" s="90" t="s">
        <v>1181</v>
      </c>
      <c r="H3">
        <v>44</v>
      </c>
      <c r="I3" s="89" t="s">
        <v>1182</v>
      </c>
      <c r="J3" s="89" t="s">
        <v>1183</v>
      </c>
      <c r="K3" s="89" t="s">
        <v>1184</v>
      </c>
      <c r="L3" s="89" t="s">
        <v>1172</v>
      </c>
      <c r="M3" s="89" t="s">
        <v>1173</v>
      </c>
      <c r="N3" s="89" t="s">
        <v>1172</v>
      </c>
      <c r="O3" s="89" t="s">
        <v>1173</v>
      </c>
      <c r="P3" s="109" t="s">
        <v>1174</v>
      </c>
      <c r="Q3" s="89" t="s">
        <v>1175</v>
      </c>
      <c r="R3" s="89" t="s">
        <v>1172</v>
      </c>
      <c r="S3" s="89" t="s">
        <v>1173</v>
      </c>
      <c r="T3" s="89" t="s">
        <v>1173</v>
      </c>
      <c r="U3" s="89" t="s">
        <v>1173</v>
      </c>
      <c r="V3" s="89" t="s">
        <v>1173</v>
      </c>
      <c r="W3" s="89" t="s">
        <v>1174</v>
      </c>
      <c r="X3" s="89" t="s">
        <v>1172</v>
      </c>
      <c r="Y3" s="89" t="s">
        <v>1173</v>
      </c>
      <c r="Z3" s="109" t="s">
        <v>1185</v>
      </c>
      <c r="AA3" s="89" t="s">
        <v>1172</v>
      </c>
      <c r="AJ3" s="50"/>
    </row>
    <row r="4" spans="1:36">
      <c r="A4" s="87" t="s">
        <v>148</v>
      </c>
      <c r="B4" s="119">
        <v>1</v>
      </c>
      <c r="C4" s="50" t="s">
        <v>1186</v>
      </c>
      <c r="D4" s="88" t="s">
        <v>1186</v>
      </c>
      <c r="E4" s="132" t="s">
        <v>85</v>
      </c>
      <c r="F4" s="90" t="s">
        <v>1187</v>
      </c>
      <c r="G4" s="90" t="s">
        <v>1188</v>
      </c>
      <c r="H4">
        <v>42</v>
      </c>
      <c r="I4" s="89" t="s">
        <v>1182</v>
      </c>
      <c r="J4" s="89" t="s">
        <v>1183</v>
      </c>
      <c r="K4" s="89" t="s">
        <v>1184</v>
      </c>
      <c r="L4" s="89" t="s">
        <v>1172</v>
      </c>
      <c r="M4" s="89" t="s">
        <v>1173</v>
      </c>
      <c r="N4" s="89" t="s">
        <v>1172</v>
      </c>
      <c r="O4" s="89" t="s">
        <v>1173</v>
      </c>
      <c r="P4" s="109" t="s">
        <v>1174</v>
      </c>
      <c r="Q4" s="89" t="s">
        <v>1175</v>
      </c>
      <c r="R4" s="89" t="s">
        <v>1172</v>
      </c>
      <c r="S4" s="89" t="s">
        <v>1173</v>
      </c>
      <c r="T4" s="89" t="s">
        <v>1173</v>
      </c>
      <c r="U4" s="89" t="s">
        <v>1173</v>
      </c>
      <c r="V4" s="89" t="s">
        <v>1173</v>
      </c>
      <c r="W4" s="89" t="s">
        <v>1174</v>
      </c>
      <c r="X4" s="89" t="s">
        <v>1172</v>
      </c>
      <c r="Y4" s="89" t="s">
        <v>1173</v>
      </c>
      <c r="Z4" s="109" t="s">
        <v>1185</v>
      </c>
      <c r="AA4" s="89" t="s">
        <v>1172</v>
      </c>
      <c r="AJ4" s="50"/>
    </row>
    <row r="5" spans="1:36">
      <c r="A5" s="87" t="s">
        <v>181</v>
      </c>
      <c r="B5" s="119">
        <v>1</v>
      </c>
      <c r="C5" s="50" t="s">
        <v>1189</v>
      </c>
      <c r="D5" s="88" t="s">
        <v>1189</v>
      </c>
      <c r="E5" s="132" t="s">
        <v>63</v>
      </c>
      <c r="F5" s="90" t="s">
        <v>1190</v>
      </c>
      <c r="G5" s="90" t="s">
        <v>1168</v>
      </c>
      <c r="H5">
        <v>54</v>
      </c>
      <c r="I5" s="89" t="s">
        <v>1191</v>
      </c>
      <c r="J5" s="89" t="s">
        <v>1170</v>
      </c>
      <c r="K5" s="89" t="s">
        <v>1192</v>
      </c>
      <c r="L5" s="89" t="s">
        <v>1172</v>
      </c>
      <c r="M5" s="89" t="s">
        <v>1173</v>
      </c>
      <c r="N5" s="89" t="s">
        <v>1172</v>
      </c>
      <c r="O5" s="89" t="s">
        <v>1173</v>
      </c>
      <c r="P5" s="109" t="s">
        <v>1174</v>
      </c>
      <c r="Q5" s="89" t="s">
        <v>1175</v>
      </c>
      <c r="R5" s="89" t="s">
        <v>1172</v>
      </c>
      <c r="S5" s="89" t="s">
        <v>1173</v>
      </c>
      <c r="T5" s="89" t="s">
        <v>1173</v>
      </c>
      <c r="U5" s="89" t="s">
        <v>1173</v>
      </c>
      <c r="V5" s="89" t="s">
        <v>1173</v>
      </c>
      <c r="W5" s="89" t="s">
        <v>1174</v>
      </c>
      <c r="X5" s="89" t="s">
        <v>1172</v>
      </c>
      <c r="Y5" s="89" t="s">
        <v>1173</v>
      </c>
      <c r="Z5" s="109" t="s">
        <v>1185</v>
      </c>
      <c r="AA5" s="89" t="s">
        <v>1172</v>
      </c>
      <c r="AJ5" s="50"/>
    </row>
    <row r="6" spans="1:36">
      <c r="A6" s="87" t="s">
        <v>247</v>
      </c>
      <c r="B6" s="119">
        <v>1</v>
      </c>
      <c r="C6" s="50" t="s">
        <v>1193</v>
      </c>
      <c r="D6" s="88" t="s">
        <v>1194</v>
      </c>
      <c r="E6" s="132" t="s">
        <v>85</v>
      </c>
      <c r="F6" s="90" t="s">
        <v>1195</v>
      </c>
      <c r="G6" s="90" t="s">
        <v>1196</v>
      </c>
      <c r="H6">
        <v>49</v>
      </c>
      <c r="I6" s="89" t="s">
        <v>1197</v>
      </c>
      <c r="J6" s="89" t="s">
        <v>1170</v>
      </c>
      <c r="K6" s="89" t="s">
        <v>1198</v>
      </c>
      <c r="L6" s="89" t="s">
        <v>1172</v>
      </c>
      <c r="M6" s="89" t="s">
        <v>1173</v>
      </c>
      <c r="N6" s="89" t="s">
        <v>1172</v>
      </c>
      <c r="O6" s="89" t="s">
        <v>1173</v>
      </c>
      <c r="P6" s="109" t="s">
        <v>1174</v>
      </c>
      <c r="Q6" s="89" t="s">
        <v>1175</v>
      </c>
      <c r="R6" s="89" t="s">
        <v>1172</v>
      </c>
      <c r="S6" s="89" t="s">
        <v>1173</v>
      </c>
      <c r="T6" s="89" t="s">
        <v>1173</v>
      </c>
      <c r="U6" s="89" t="s">
        <v>1173</v>
      </c>
      <c r="V6" s="89" t="s">
        <v>1173</v>
      </c>
      <c r="W6" s="89" t="s">
        <v>1199</v>
      </c>
      <c r="X6" s="89" t="s">
        <v>578</v>
      </c>
      <c r="Y6" s="89" t="s">
        <v>1200</v>
      </c>
      <c r="Z6" s="109" t="s">
        <v>1201</v>
      </c>
      <c r="AA6" s="89" t="s">
        <v>578</v>
      </c>
      <c r="AJ6" s="50"/>
    </row>
    <row r="7" spans="1:36">
      <c r="A7" s="87" t="s">
        <v>256</v>
      </c>
      <c r="B7" s="119">
        <v>1</v>
      </c>
      <c r="C7" s="50" t="s">
        <v>1202</v>
      </c>
      <c r="D7" s="88" t="s">
        <v>1202</v>
      </c>
      <c r="E7" s="132" t="s">
        <v>85</v>
      </c>
      <c r="F7" s="90" t="s">
        <v>1203</v>
      </c>
      <c r="G7" s="90" t="s">
        <v>1204</v>
      </c>
      <c r="H7">
        <v>54</v>
      </c>
      <c r="I7" s="89" t="s">
        <v>1169</v>
      </c>
      <c r="J7" s="89" t="s">
        <v>1170</v>
      </c>
      <c r="K7" s="89" t="s">
        <v>1192</v>
      </c>
      <c r="L7" s="89" t="s">
        <v>1172</v>
      </c>
      <c r="M7" s="89" t="s">
        <v>1173</v>
      </c>
      <c r="N7" s="89" t="s">
        <v>1172</v>
      </c>
      <c r="O7" s="89" t="s">
        <v>1173</v>
      </c>
      <c r="P7" s="109" t="s">
        <v>1177</v>
      </c>
      <c r="Q7" s="89" t="s">
        <v>1175</v>
      </c>
      <c r="R7" s="89" t="s">
        <v>1172</v>
      </c>
      <c r="S7" s="89" t="s">
        <v>1173</v>
      </c>
      <c r="T7" s="89" t="s">
        <v>1173</v>
      </c>
      <c r="U7" s="89" t="s">
        <v>1173</v>
      </c>
      <c r="V7" s="89" t="s">
        <v>1173</v>
      </c>
      <c r="W7" s="89" t="s">
        <v>1177</v>
      </c>
      <c r="X7" s="89" t="s">
        <v>1172</v>
      </c>
      <c r="Y7" s="89" t="s">
        <v>1173</v>
      </c>
      <c r="Z7" s="109" t="s">
        <v>1185</v>
      </c>
      <c r="AA7" s="89" t="s">
        <v>1172</v>
      </c>
      <c r="AJ7" s="50"/>
    </row>
    <row r="8" spans="1:36">
      <c r="A8" s="87" t="s">
        <v>268</v>
      </c>
      <c r="B8" s="119">
        <v>1</v>
      </c>
      <c r="C8" s="50" t="s">
        <v>1205</v>
      </c>
      <c r="D8" s="88" t="s">
        <v>1205</v>
      </c>
      <c r="E8" s="132" t="s">
        <v>63</v>
      </c>
      <c r="F8" s="90" t="s">
        <v>1180</v>
      </c>
      <c r="G8" s="90" t="s">
        <v>1206</v>
      </c>
      <c r="H8">
        <v>41</v>
      </c>
      <c r="I8" s="89" t="s">
        <v>1191</v>
      </c>
      <c r="J8" s="89" t="s">
        <v>1170</v>
      </c>
      <c r="K8" s="89" t="s">
        <v>1184</v>
      </c>
      <c r="L8" s="89" t="s">
        <v>1172</v>
      </c>
      <c r="M8" s="89" t="s">
        <v>1173</v>
      </c>
      <c r="N8" s="89" t="s">
        <v>1172</v>
      </c>
      <c r="O8" s="89" t="s">
        <v>1173</v>
      </c>
      <c r="P8" s="109" t="s">
        <v>1174</v>
      </c>
      <c r="Q8" s="89" t="s">
        <v>1175</v>
      </c>
      <c r="R8" s="89" t="s">
        <v>578</v>
      </c>
      <c r="S8" s="89" t="s">
        <v>1177</v>
      </c>
      <c r="T8" s="89" t="s">
        <v>1177</v>
      </c>
      <c r="U8" s="89" t="s">
        <v>1173</v>
      </c>
      <c r="V8" s="89" t="s">
        <v>1173</v>
      </c>
      <c r="W8" s="89" t="s">
        <v>1174</v>
      </c>
      <c r="X8" s="89" t="s">
        <v>1172</v>
      </c>
      <c r="Y8" s="89" t="s">
        <v>1173</v>
      </c>
      <c r="Z8" s="109" t="s">
        <v>1207</v>
      </c>
      <c r="AA8" s="89" t="s">
        <v>578</v>
      </c>
      <c r="AJ8" s="50"/>
    </row>
    <row r="9" spans="1:36">
      <c r="A9" s="45" t="s">
        <v>296</v>
      </c>
      <c r="B9" s="120">
        <v>1</v>
      </c>
      <c r="C9" s="50" t="s">
        <v>1208</v>
      </c>
      <c r="D9" s="44" t="s">
        <v>1208</v>
      </c>
      <c r="E9" s="129" t="s">
        <v>63</v>
      </c>
      <c r="F9" s="41">
        <v>164</v>
      </c>
      <c r="G9" s="41">
        <v>59</v>
      </c>
      <c r="H9" s="39">
        <v>43</v>
      </c>
      <c r="I9" s="39" t="s">
        <v>1197</v>
      </c>
      <c r="J9" s="39" t="s">
        <v>1170</v>
      </c>
      <c r="K9" s="39" t="s">
        <v>1184</v>
      </c>
      <c r="L9" s="39" t="s">
        <v>1172</v>
      </c>
      <c r="M9" s="91"/>
      <c r="N9" s="39" t="s">
        <v>1172</v>
      </c>
      <c r="O9" s="91"/>
      <c r="P9" s="110" t="s">
        <v>1174</v>
      </c>
      <c r="Q9" s="39" t="s">
        <v>1175</v>
      </c>
      <c r="R9" s="39" t="s">
        <v>578</v>
      </c>
      <c r="S9" s="91"/>
      <c r="T9" s="39">
        <v>0</v>
      </c>
      <c r="U9" s="91"/>
      <c r="V9" s="91"/>
      <c r="W9" s="39" t="s">
        <v>1174</v>
      </c>
      <c r="X9" s="39" t="s">
        <v>1172</v>
      </c>
      <c r="Y9" s="91"/>
      <c r="Z9" s="110" t="s">
        <v>1207</v>
      </c>
      <c r="AA9" s="39" t="s">
        <v>1172</v>
      </c>
      <c r="AJ9" s="50"/>
    </row>
    <row r="10" spans="1:36">
      <c r="A10" s="45" t="s">
        <v>305</v>
      </c>
      <c r="B10" s="120">
        <v>1</v>
      </c>
      <c r="C10" s="50" t="s">
        <v>1209</v>
      </c>
      <c r="D10" s="44" t="s">
        <v>1209</v>
      </c>
      <c r="E10" s="129" t="s">
        <v>85</v>
      </c>
      <c r="F10" s="41">
        <v>160</v>
      </c>
      <c r="G10" s="41">
        <v>54</v>
      </c>
      <c r="H10" s="39">
        <v>51</v>
      </c>
      <c r="I10" s="39" t="s">
        <v>1197</v>
      </c>
      <c r="J10" s="39" t="s">
        <v>1170</v>
      </c>
      <c r="K10" s="39" t="s">
        <v>1210</v>
      </c>
      <c r="L10" s="39" t="s">
        <v>1172</v>
      </c>
      <c r="M10" s="91"/>
      <c r="N10" s="39" t="s">
        <v>1172</v>
      </c>
      <c r="O10" s="91"/>
      <c r="P10" s="110" t="s">
        <v>1174</v>
      </c>
      <c r="Q10" s="39" t="s">
        <v>1175</v>
      </c>
      <c r="R10" s="39" t="s">
        <v>578</v>
      </c>
      <c r="S10" s="39" t="s">
        <v>1211</v>
      </c>
      <c r="T10" s="39">
        <v>0</v>
      </c>
      <c r="U10" s="91"/>
      <c r="V10" s="91"/>
      <c r="W10" s="39" t="s">
        <v>1174</v>
      </c>
      <c r="X10" s="39" t="s">
        <v>578</v>
      </c>
      <c r="Y10" s="39" t="s">
        <v>1212</v>
      </c>
      <c r="Z10" s="110" t="s">
        <v>1185</v>
      </c>
      <c r="AA10" s="39" t="s">
        <v>1172</v>
      </c>
      <c r="AJ10" s="50"/>
    </row>
    <row r="11" spans="1:36">
      <c r="A11" s="45" t="s">
        <v>313</v>
      </c>
      <c r="B11" s="120">
        <v>1</v>
      </c>
      <c r="C11" s="50" t="s">
        <v>1213</v>
      </c>
      <c r="D11" s="44" t="s">
        <v>1214</v>
      </c>
      <c r="E11" s="129" t="s">
        <v>85</v>
      </c>
      <c r="F11" s="41">
        <v>163</v>
      </c>
      <c r="G11" s="41">
        <v>50</v>
      </c>
      <c r="H11" s="39">
        <v>58</v>
      </c>
      <c r="I11" s="39" t="s">
        <v>1215</v>
      </c>
      <c r="J11" s="39" t="s">
        <v>1170</v>
      </c>
      <c r="K11" s="39" t="s">
        <v>1216</v>
      </c>
      <c r="L11" s="39" t="s">
        <v>1172</v>
      </c>
      <c r="M11" s="91"/>
      <c r="N11" s="39" t="s">
        <v>1172</v>
      </c>
      <c r="O11" s="91"/>
      <c r="P11" s="110" t="s">
        <v>1174</v>
      </c>
      <c r="Q11" s="39" t="s">
        <v>1175</v>
      </c>
      <c r="R11" s="39" t="s">
        <v>1172</v>
      </c>
      <c r="S11" s="91"/>
      <c r="T11" s="91"/>
      <c r="U11" s="91"/>
      <c r="V11" s="91"/>
      <c r="W11" s="39" t="s">
        <v>1174</v>
      </c>
      <c r="X11" s="39" t="s">
        <v>578</v>
      </c>
      <c r="Y11" s="39" t="s">
        <v>1217</v>
      </c>
      <c r="Z11" s="110" t="s">
        <v>1178</v>
      </c>
      <c r="AA11" s="39" t="s">
        <v>578</v>
      </c>
      <c r="AJ11" s="50"/>
    </row>
    <row r="12" spans="1:36">
      <c r="A12" s="45" t="s">
        <v>320</v>
      </c>
      <c r="B12" s="120">
        <v>1</v>
      </c>
      <c r="C12" s="50" t="s">
        <v>1218</v>
      </c>
      <c r="D12" s="44" t="s">
        <v>1218</v>
      </c>
      <c r="E12" s="129" t="s">
        <v>63</v>
      </c>
      <c r="F12" s="41">
        <v>1.73</v>
      </c>
      <c r="G12" s="41">
        <v>80</v>
      </c>
      <c r="H12" s="39">
        <v>55</v>
      </c>
      <c r="I12" s="39" t="s">
        <v>1191</v>
      </c>
      <c r="J12" s="39" t="s">
        <v>1170</v>
      </c>
      <c r="K12" s="39" t="s">
        <v>1219</v>
      </c>
      <c r="L12" s="39" t="s">
        <v>1172</v>
      </c>
      <c r="M12" s="91"/>
      <c r="N12" s="39" t="s">
        <v>1172</v>
      </c>
      <c r="O12" s="91"/>
      <c r="P12" s="110" t="s">
        <v>1174</v>
      </c>
      <c r="Q12" s="39" t="s">
        <v>1175</v>
      </c>
      <c r="R12" s="39" t="s">
        <v>578</v>
      </c>
      <c r="S12" s="39">
        <v>1</v>
      </c>
      <c r="T12" s="39">
        <v>0</v>
      </c>
      <c r="U12" s="91"/>
      <c r="V12" s="91"/>
      <c r="W12" s="39">
        <v>0</v>
      </c>
      <c r="X12" s="39" t="s">
        <v>1172</v>
      </c>
      <c r="Y12" s="91"/>
      <c r="Z12" s="110" t="s">
        <v>1178</v>
      </c>
      <c r="AA12" s="39" t="s">
        <v>1172</v>
      </c>
      <c r="AJ12" s="50"/>
    </row>
    <row r="13" spans="1:36">
      <c r="A13" s="45" t="s">
        <v>336</v>
      </c>
      <c r="B13" s="120">
        <v>1</v>
      </c>
      <c r="C13" s="50" t="s">
        <v>1220</v>
      </c>
      <c r="D13" s="44" t="s">
        <v>1220</v>
      </c>
      <c r="E13" s="129" t="s">
        <v>85</v>
      </c>
      <c r="F13" s="41">
        <v>152</v>
      </c>
      <c r="G13" s="41">
        <v>56</v>
      </c>
      <c r="H13" s="39">
        <v>55</v>
      </c>
      <c r="I13" s="39" t="s">
        <v>1191</v>
      </c>
      <c r="J13" s="39" t="s">
        <v>1170</v>
      </c>
      <c r="K13" s="39" t="s">
        <v>1221</v>
      </c>
      <c r="L13" s="39" t="s">
        <v>1172</v>
      </c>
      <c r="M13" s="91"/>
      <c r="N13" s="39" t="s">
        <v>1172</v>
      </c>
      <c r="O13" s="91"/>
      <c r="P13" s="110" t="s">
        <v>1174</v>
      </c>
      <c r="Q13" s="39" t="s">
        <v>1175</v>
      </c>
      <c r="R13" s="39" t="s">
        <v>1172</v>
      </c>
      <c r="S13" s="91"/>
      <c r="T13" s="91"/>
      <c r="U13" s="91"/>
      <c r="V13" s="91"/>
      <c r="W13" s="39" t="s">
        <v>1174</v>
      </c>
      <c r="X13" s="39" t="s">
        <v>578</v>
      </c>
      <c r="Y13" s="39" t="s">
        <v>1222</v>
      </c>
      <c r="Z13" s="110" t="s">
        <v>1201</v>
      </c>
      <c r="AA13" s="39" t="s">
        <v>578</v>
      </c>
      <c r="AJ13" s="50"/>
    </row>
    <row r="14" spans="1:36">
      <c r="A14" s="45" t="s">
        <v>369</v>
      </c>
      <c r="B14" s="120">
        <v>1</v>
      </c>
      <c r="C14" s="50" t="s">
        <v>1223</v>
      </c>
      <c r="D14" s="44" t="s">
        <v>1224</v>
      </c>
      <c r="E14" s="129" t="s">
        <v>85</v>
      </c>
      <c r="F14" s="41">
        <v>163</v>
      </c>
      <c r="G14" s="41">
        <v>63</v>
      </c>
      <c r="H14" s="39">
        <v>55</v>
      </c>
      <c r="I14" s="39" t="s">
        <v>1197</v>
      </c>
      <c r="J14" s="39" t="s">
        <v>1170</v>
      </c>
      <c r="K14" s="39" t="s">
        <v>1192</v>
      </c>
      <c r="L14" s="39" t="s">
        <v>1172</v>
      </c>
      <c r="M14" s="91"/>
      <c r="N14" s="39" t="s">
        <v>1172</v>
      </c>
      <c r="O14" s="91"/>
      <c r="P14" s="110" t="s">
        <v>1174</v>
      </c>
      <c r="Q14" s="39" t="s">
        <v>1175</v>
      </c>
      <c r="R14" s="39" t="s">
        <v>578</v>
      </c>
      <c r="S14" s="91"/>
      <c r="T14" s="39">
        <v>0</v>
      </c>
      <c r="U14" s="91"/>
      <c r="V14" s="91"/>
      <c r="W14" s="39" t="s">
        <v>1174</v>
      </c>
      <c r="X14" s="39" t="s">
        <v>578</v>
      </c>
      <c r="Y14" s="39" t="s">
        <v>1225</v>
      </c>
      <c r="Z14" s="110" t="s">
        <v>1185</v>
      </c>
      <c r="AA14" s="39" t="s">
        <v>578</v>
      </c>
      <c r="AJ14" s="50"/>
    </row>
    <row r="15" spans="1:36">
      <c r="A15" s="45" t="s">
        <v>417</v>
      </c>
      <c r="B15" s="120">
        <v>1</v>
      </c>
      <c r="C15" s="50" t="s">
        <v>1226</v>
      </c>
      <c r="D15" s="44" t="s">
        <v>1227</v>
      </c>
      <c r="E15" s="129" t="s">
        <v>85</v>
      </c>
      <c r="F15" s="41">
        <v>166</v>
      </c>
      <c r="G15" s="41">
        <v>59</v>
      </c>
      <c r="H15" s="39">
        <v>54</v>
      </c>
      <c r="I15" s="39" t="s">
        <v>1228</v>
      </c>
      <c r="J15" s="39" t="s">
        <v>1170</v>
      </c>
      <c r="K15" s="39" t="s">
        <v>1192</v>
      </c>
      <c r="L15" s="39" t="s">
        <v>1172</v>
      </c>
      <c r="M15" s="91"/>
      <c r="N15" s="39" t="s">
        <v>1172</v>
      </c>
      <c r="O15" s="91"/>
      <c r="P15" s="110" t="s">
        <v>1174</v>
      </c>
      <c r="Q15" s="39" t="s">
        <v>1175</v>
      </c>
      <c r="R15" s="39" t="s">
        <v>578</v>
      </c>
      <c r="S15" s="91">
        <v>7</v>
      </c>
      <c r="T15" s="91">
        <v>0</v>
      </c>
      <c r="U15" s="91"/>
      <c r="V15" s="91"/>
      <c r="W15" s="39" t="s">
        <v>1174</v>
      </c>
      <c r="X15" s="39" t="s">
        <v>578</v>
      </c>
      <c r="Y15" s="39" t="s">
        <v>1229</v>
      </c>
      <c r="Z15" s="110" t="s">
        <v>1201</v>
      </c>
      <c r="AA15" s="39" t="s">
        <v>578</v>
      </c>
      <c r="AJ15" s="50"/>
    </row>
    <row r="16" spans="1:36">
      <c r="A16" s="45" t="s">
        <v>423</v>
      </c>
      <c r="B16" s="120">
        <v>1</v>
      </c>
      <c r="C16" s="50" t="s">
        <v>1230</v>
      </c>
      <c r="D16" s="44" t="s">
        <v>1231</v>
      </c>
      <c r="E16" s="129" t="s">
        <v>85</v>
      </c>
      <c r="F16" s="41">
        <v>149</v>
      </c>
      <c r="G16" s="41">
        <v>64</v>
      </c>
      <c r="H16" s="39">
        <v>42</v>
      </c>
      <c r="I16" s="39" t="s">
        <v>1232</v>
      </c>
      <c r="J16" s="39" t="s">
        <v>1233</v>
      </c>
      <c r="K16" s="39" t="s">
        <v>1234</v>
      </c>
      <c r="L16" s="39" t="s">
        <v>1172</v>
      </c>
      <c r="M16" s="91"/>
      <c r="N16" s="39" t="s">
        <v>1172</v>
      </c>
      <c r="O16" s="91"/>
      <c r="P16" s="110" t="s">
        <v>1199</v>
      </c>
      <c r="Q16" s="39" t="s">
        <v>1175</v>
      </c>
      <c r="R16" s="39" t="s">
        <v>1172</v>
      </c>
      <c r="S16" s="91"/>
      <c r="T16" s="91"/>
      <c r="U16" s="91"/>
      <c r="V16" s="91"/>
      <c r="W16" s="39">
        <v>0</v>
      </c>
      <c r="X16" s="39" t="s">
        <v>1172</v>
      </c>
      <c r="Y16" s="39"/>
      <c r="Z16" s="110" t="s">
        <v>1185</v>
      </c>
      <c r="AA16" s="39" t="s">
        <v>578</v>
      </c>
      <c r="AJ16" s="50"/>
    </row>
    <row r="17" spans="1:36">
      <c r="A17" s="45" t="s">
        <v>432</v>
      </c>
      <c r="B17" s="120">
        <v>1</v>
      </c>
      <c r="C17" s="50" t="s">
        <v>1235</v>
      </c>
      <c r="D17" s="44" t="s">
        <v>1236</v>
      </c>
      <c r="E17" s="129" t="s">
        <v>63</v>
      </c>
      <c r="F17" s="41">
        <v>170</v>
      </c>
      <c r="G17" s="41">
        <v>68</v>
      </c>
      <c r="H17" s="39">
        <v>55</v>
      </c>
      <c r="I17" s="39" t="s">
        <v>1197</v>
      </c>
      <c r="J17" s="39" t="s">
        <v>1170</v>
      </c>
      <c r="K17" s="39" t="s">
        <v>1237</v>
      </c>
      <c r="L17" s="39" t="s">
        <v>1172</v>
      </c>
      <c r="M17" s="91"/>
      <c r="N17" s="39" t="s">
        <v>1172</v>
      </c>
      <c r="O17" s="91"/>
      <c r="P17" s="110" t="s">
        <v>1174</v>
      </c>
      <c r="Q17" s="39" t="s">
        <v>1238</v>
      </c>
      <c r="R17" s="39" t="s">
        <v>578</v>
      </c>
      <c r="S17" s="39">
        <v>1</v>
      </c>
      <c r="T17" s="39">
        <v>0</v>
      </c>
      <c r="U17" s="91"/>
      <c r="V17" s="91"/>
      <c r="W17" s="39" t="s">
        <v>1174</v>
      </c>
      <c r="X17" s="39" t="s">
        <v>1172</v>
      </c>
      <c r="Y17" s="91"/>
      <c r="Z17" s="110" t="s">
        <v>1207</v>
      </c>
      <c r="AA17" s="39" t="s">
        <v>1172</v>
      </c>
      <c r="AJ17" s="50"/>
    </row>
    <row r="18" spans="1:36">
      <c r="A18" s="45" t="s">
        <v>442</v>
      </c>
      <c r="B18" s="120">
        <v>1</v>
      </c>
      <c r="C18" s="50" t="s">
        <v>1239</v>
      </c>
      <c r="D18" s="44" t="s">
        <v>1240</v>
      </c>
      <c r="E18" s="129" t="s">
        <v>85</v>
      </c>
      <c r="F18" s="41">
        <v>159</v>
      </c>
      <c r="G18" s="41">
        <v>47</v>
      </c>
      <c r="H18" s="39">
        <v>52</v>
      </c>
      <c r="I18" s="39" t="s">
        <v>1215</v>
      </c>
      <c r="J18" s="39" t="s">
        <v>1170</v>
      </c>
      <c r="K18" s="39" t="s">
        <v>1216</v>
      </c>
      <c r="L18" s="39" t="s">
        <v>1172</v>
      </c>
      <c r="M18" s="91"/>
      <c r="N18" s="39" t="s">
        <v>1172</v>
      </c>
      <c r="O18" s="91"/>
      <c r="P18" s="110">
        <v>0</v>
      </c>
      <c r="Q18" s="39" t="s">
        <v>1175</v>
      </c>
      <c r="R18" s="39" t="s">
        <v>1172</v>
      </c>
      <c r="S18" s="91"/>
      <c r="T18" s="91"/>
      <c r="U18" s="91"/>
      <c r="V18" s="91"/>
      <c r="W18" s="39">
        <v>0</v>
      </c>
      <c r="X18" s="39" t="s">
        <v>1172</v>
      </c>
      <c r="Y18" s="91"/>
      <c r="Z18" s="110" t="s">
        <v>1185</v>
      </c>
      <c r="AA18" s="39" t="s">
        <v>1172</v>
      </c>
      <c r="AJ18" s="50"/>
    </row>
    <row r="19" spans="1:36">
      <c r="A19" s="45" t="s">
        <v>453</v>
      </c>
      <c r="B19" s="120">
        <v>1</v>
      </c>
      <c r="C19" s="50" t="s">
        <v>1241</v>
      </c>
      <c r="D19" s="44" t="s">
        <v>1242</v>
      </c>
      <c r="E19" s="129" t="s">
        <v>63</v>
      </c>
      <c r="F19" s="41">
        <v>176</v>
      </c>
      <c r="G19" s="41">
        <v>107</v>
      </c>
      <c r="H19" s="39">
        <v>42</v>
      </c>
      <c r="I19" s="39" t="s">
        <v>1215</v>
      </c>
      <c r="J19" s="39" t="s">
        <v>1170</v>
      </c>
      <c r="K19" s="39" t="s">
        <v>1243</v>
      </c>
      <c r="L19" s="39" t="s">
        <v>1172</v>
      </c>
      <c r="M19" s="91"/>
      <c r="N19" s="39" t="s">
        <v>1172</v>
      </c>
      <c r="O19" s="91"/>
      <c r="P19" s="110" t="s">
        <v>1174</v>
      </c>
      <c r="Q19" s="39" t="s">
        <v>1175</v>
      </c>
      <c r="R19" s="39" t="s">
        <v>578</v>
      </c>
      <c r="S19" s="91"/>
      <c r="T19" s="39" t="s">
        <v>1174</v>
      </c>
      <c r="U19" s="39" t="s">
        <v>1244</v>
      </c>
      <c r="V19" s="39" t="s">
        <v>1244</v>
      </c>
      <c r="W19" s="39" t="s">
        <v>1174</v>
      </c>
      <c r="X19" s="39" t="s">
        <v>578</v>
      </c>
      <c r="Y19" s="39" t="s">
        <v>1245</v>
      </c>
      <c r="Z19" s="110" t="s">
        <v>1207</v>
      </c>
      <c r="AA19" s="39" t="s">
        <v>578</v>
      </c>
      <c r="AJ19" s="50"/>
    </row>
    <row r="20" spans="1:36">
      <c r="A20" s="45" t="s">
        <v>489</v>
      </c>
      <c r="B20" s="120">
        <v>1</v>
      </c>
      <c r="C20" s="50" t="s">
        <v>1246</v>
      </c>
      <c r="D20" s="44" t="s">
        <v>1247</v>
      </c>
      <c r="E20" s="129" t="s">
        <v>63</v>
      </c>
      <c r="F20" s="41">
        <v>171</v>
      </c>
      <c r="G20" s="41">
        <v>79</v>
      </c>
      <c r="H20" s="39">
        <v>59</v>
      </c>
      <c r="I20" s="39" t="s">
        <v>1191</v>
      </c>
      <c r="J20" s="39" t="s">
        <v>1170</v>
      </c>
      <c r="K20" s="39" t="s">
        <v>1248</v>
      </c>
      <c r="L20" s="39" t="s">
        <v>1172</v>
      </c>
      <c r="M20" s="91"/>
      <c r="N20" s="39" t="s">
        <v>1172</v>
      </c>
      <c r="O20" s="91"/>
      <c r="P20" s="110" t="s">
        <v>1199</v>
      </c>
      <c r="Q20" s="39" t="s">
        <v>1175</v>
      </c>
      <c r="R20" s="39" t="s">
        <v>578</v>
      </c>
      <c r="S20" s="39">
        <v>2</v>
      </c>
      <c r="T20" s="39">
        <v>0</v>
      </c>
      <c r="U20" s="91"/>
      <c r="V20" s="91"/>
      <c r="W20" s="39" t="s">
        <v>1174</v>
      </c>
      <c r="X20" s="39" t="s">
        <v>578</v>
      </c>
      <c r="Y20" s="39" t="s">
        <v>1249</v>
      </c>
      <c r="Z20" s="110" t="s">
        <v>1178</v>
      </c>
      <c r="AA20" s="39" t="s">
        <v>1172</v>
      </c>
      <c r="AJ20" s="50"/>
    </row>
    <row r="21" spans="1:36">
      <c r="A21" s="45" t="s">
        <v>513</v>
      </c>
      <c r="B21" s="120">
        <v>1</v>
      </c>
      <c r="C21" s="50" t="s">
        <v>1250</v>
      </c>
      <c r="D21" s="44" t="s">
        <v>1251</v>
      </c>
      <c r="E21" s="129" t="s">
        <v>85</v>
      </c>
      <c r="F21" s="41">
        <v>156</v>
      </c>
      <c r="G21" s="41">
        <v>60</v>
      </c>
      <c r="H21" s="39">
        <v>50</v>
      </c>
      <c r="I21" s="39" t="s">
        <v>1215</v>
      </c>
      <c r="J21" s="39" t="s">
        <v>1170</v>
      </c>
      <c r="K21" s="39" t="s">
        <v>1216</v>
      </c>
      <c r="L21" s="39" t="s">
        <v>1172</v>
      </c>
      <c r="M21" s="91"/>
      <c r="N21" s="39" t="s">
        <v>1172</v>
      </c>
      <c r="O21" s="91"/>
      <c r="P21" s="110" t="s">
        <v>1174</v>
      </c>
      <c r="Q21" s="39" t="s">
        <v>1175</v>
      </c>
      <c r="R21" s="39" t="s">
        <v>578</v>
      </c>
      <c r="S21" s="39" t="s">
        <v>1252</v>
      </c>
      <c r="T21" s="39">
        <v>0</v>
      </c>
      <c r="U21" s="91"/>
      <c r="V21" s="91"/>
      <c r="W21" s="39" t="s">
        <v>1174</v>
      </c>
      <c r="X21" s="39" t="s">
        <v>578</v>
      </c>
      <c r="Y21" s="39" t="s">
        <v>1253</v>
      </c>
      <c r="Z21" s="110" t="s">
        <v>1185</v>
      </c>
      <c r="AA21" s="39" t="s">
        <v>578</v>
      </c>
      <c r="AJ21" s="50"/>
    </row>
    <row r="22" spans="1:36">
      <c r="A22" s="45" t="s">
        <v>540</v>
      </c>
      <c r="B22" s="120">
        <v>1</v>
      </c>
      <c r="C22" s="58" t="s">
        <v>1254</v>
      </c>
      <c r="D22" s="44" t="s">
        <v>1255</v>
      </c>
      <c r="E22" s="129" t="s">
        <v>85</v>
      </c>
      <c r="F22" s="41">
        <v>150</v>
      </c>
      <c r="G22" s="41">
        <v>46.5</v>
      </c>
      <c r="H22" s="39">
        <v>44</v>
      </c>
      <c r="I22" s="39" t="s">
        <v>1215</v>
      </c>
      <c r="J22" s="39" t="s">
        <v>1170</v>
      </c>
      <c r="K22" s="39" t="s">
        <v>1256</v>
      </c>
      <c r="L22" s="39" t="s">
        <v>1172</v>
      </c>
      <c r="M22" s="91"/>
      <c r="N22" s="39" t="s">
        <v>1172</v>
      </c>
      <c r="O22" s="91"/>
      <c r="P22" s="110" t="s">
        <v>1174</v>
      </c>
      <c r="Q22" s="39" t="s">
        <v>1175</v>
      </c>
      <c r="R22" s="39" t="s">
        <v>1172</v>
      </c>
      <c r="S22" s="91"/>
      <c r="T22" s="91"/>
      <c r="U22" s="91"/>
      <c r="V22" s="91"/>
      <c r="W22" s="39" t="s">
        <v>1199</v>
      </c>
      <c r="X22" s="39" t="s">
        <v>1172</v>
      </c>
      <c r="Y22" s="91"/>
      <c r="Z22" s="110" t="s">
        <v>1185</v>
      </c>
      <c r="AA22" s="39" t="s">
        <v>578</v>
      </c>
      <c r="AJ22" s="50"/>
    </row>
    <row r="23" spans="1:36">
      <c r="A23" s="45" t="s">
        <v>572</v>
      </c>
      <c r="B23" s="120">
        <v>1</v>
      </c>
      <c r="C23" s="50" t="s">
        <v>1257</v>
      </c>
      <c r="D23" s="44" t="s">
        <v>1257</v>
      </c>
      <c r="E23" s="129" t="s">
        <v>63</v>
      </c>
      <c r="F23" s="41">
        <v>171</v>
      </c>
      <c r="G23" s="41">
        <v>76</v>
      </c>
      <c r="H23" s="39">
        <v>48</v>
      </c>
      <c r="I23" s="39" t="s">
        <v>1215</v>
      </c>
      <c r="J23" s="39" t="s">
        <v>1170</v>
      </c>
      <c r="K23" s="39" t="s">
        <v>1192</v>
      </c>
      <c r="L23" s="39" t="s">
        <v>1172</v>
      </c>
      <c r="M23" s="91"/>
      <c r="N23" s="39" t="s">
        <v>1172</v>
      </c>
      <c r="O23" s="91"/>
      <c r="P23" s="110" t="s">
        <v>1174</v>
      </c>
      <c r="Q23" s="39" t="s">
        <v>1175</v>
      </c>
      <c r="R23" s="39" t="s">
        <v>1172</v>
      </c>
      <c r="S23" s="91"/>
      <c r="T23" s="91"/>
      <c r="U23" s="91"/>
      <c r="V23" s="91"/>
      <c r="W23" s="39" t="s">
        <v>1174</v>
      </c>
      <c r="X23" s="39" t="s">
        <v>1172</v>
      </c>
      <c r="Y23" s="91"/>
      <c r="Z23" s="110" t="s">
        <v>1178</v>
      </c>
      <c r="AA23" s="39" t="s">
        <v>1172</v>
      </c>
      <c r="AJ23" s="50"/>
    </row>
    <row r="24" spans="1:36">
      <c r="A24" s="45" t="s">
        <v>618</v>
      </c>
      <c r="B24" s="120">
        <v>1</v>
      </c>
      <c r="C24" t="s">
        <v>1258</v>
      </c>
      <c r="D24" s="57" t="s">
        <v>1259</v>
      </c>
      <c r="E24" s="128" t="s">
        <v>85</v>
      </c>
      <c r="F24" s="57">
        <v>155</v>
      </c>
      <c r="G24" s="57">
        <v>58</v>
      </c>
      <c r="H24" s="57">
        <v>63</v>
      </c>
      <c r="I24" s="57" t="s">
        <v>1260</v>
      </c>
      <c r="J24" s="57" t="s">
        <v>1170</v>
      </c>
      <c r="K24" s="57" t="s">
        <v>1261</v>
      </c>
      <c r="L24" s="57" t="s">
        <v>1172</v>
      </c>
      <c r="M24" s="57"/>
      <c r="N24" s="57" t="s">
        <v>1172</v>
      </c>
      <c r="O24" s="57"/>
      <c r="P24" s="112" t="s">
        <v>1199</v>
      </c>
      <c r="Q24" s="57" t="s">
        <v>1175</v>
      </c>
      <c r="R24" s="57" t="s">
        <v>578</v>
      </c>
      <c r="S24" s="57"/>
      <c r="T24" s="57">
        <v>0</v>
      </c>
      <c r="U24" s="57"/>
      <c r="V24" s="57"/>
      <c r="W24" s="57" t="s">
        <v>1174</v>
      </c>
      <c r="X24" s="57" t="s">
        <v>578</v>
      </c>
      <c r="Y24" s="57" t="s">
        <v>1262</v>
      </c>
      <c r="Z24" s="112" t="s">
        <v>1185</v>
      </c>
      <c r="AA24" s="57" t="s">
        <v>1172</v>
      </c>
      <c r="AJ24" s="50"/>
    </row>
    <row r="25" spans="1:36">
      <c r="A25" s="45" t="s">
        <v>622</v>
      </c>
      <c r="B25" s="120">
        <v>1</v>
      </c>
      <c r="C25" t="s">
        <v>1263</v>
      </c>
      <c r="D25" s="57" t="s">
        <v>1263</v>
      </c>
      <c r="E25" s="128" t="s">
        <v>85</v>
      </c>
      <c r="F25" s="57">
        <v>167</v>
      </c>
      <c r="G25" s="57">
        <v>64</v>
      </c>
      <c r="H25" s="57">
        <v>57</v>
      </c>
      <c r="I25" s="57" t="s">
        <v>1197</v>
      </c>
      <c r="J25" s="57" t="s">
        <v>1170</v>
      </c>
      <c r="K25" s="57" t="s">
        <v>1264</v>
      </c>
      <c r="L25" s="57" t="s">
        <v>578</v>
      </c>
      <c r="M25" s="57" t="s">
        <v>1265</v>
      </c>
      <c r="N25" s="57" t="s">
        <v>1172</v>
      </c>
      <c r="O25" s="57"/>
      <c r="P25" s="112">
        <v>0</v>
      </c>
      <c r="Q25" s="57" t="s">
        <v>1175</v>
      </c>
      <c r="R25" s="57" t="s">
        <v>578</v>
      </c>
      <c r="S25" s="57" t="s">
        <v>1266</v>
      </c>
      <c r="T25" s="57">
        <v>0</v>
      </c>
      <c r="U25" s="57"/>
      <c r="V25" s="57"/>
      <c r="W25" s="57">
        <v>0</v>
      </c>
      <c r="X25" s="57" t="s">
        <v>1172</v>
      </c>
      <c r="Y25" s="57"/>
      <c r="Z25" s="112" t="s">
        <v>1201</v>
      </c>
      <c r="AA25" s="57" t="s">
        <v>1172</v>
      </c>
      <c r="AJ25" s="50"/>
    </row>
    <row r="26" spans="1:36">
      <c r="A26" s="45" t="s">
        <v>675</v>
      </c>
      <c r="B26" s="120">
        <v>1</v>
      </c>
      <c r="C26" t="s">
        <v>1267</v>
      </c>
      <c r="D26" s="57" t="s">
        <v>1267</v>
      </c>
      <c r="E26" s="128" t="s">
        <v>63</v>
      </c>
      <c r="F26" s="57">
        <v>179</v>
      </c>
      <c r="G26" s="57">
        <v>65</v>
      </c>
      <c r="H26" s="57">
        <v>42</v>
      </c>
      <c r="I26" s="57" t="s">
        <v>1268</v>
      </c>
      <c r="J26" s="57" t="s">
        <v>1170</v>
      </c>
      <c r="K26" s="57" t="s">
        <v>1269</v>
      </c>
      <c r="L26" s="57" t="s">
        <v>1172</v>
      </c>
      <c r="M26" s="57"/>
      <c r="N26" s="57" t="s">
        <v>1172</v>
      </c>
      <c r="O26" s="57"/>
      <c r="P26" s="112" t="s">
        <v>1199</v>
      </c>
      <c r="Q26" s="57" t="s">
        <v>1175</v>
      </c>
      <c r="R26" s="57" t="s">
        <v>578</v>
      </c>
      <c r="S26" s="57">
        <v>0</v>
      </c>
      <c r="T26" s="57">
        <v>0</v>
      </c>
      <c r="U26" s="57"/>
      <c r="V26" s="57"/>
      <c r="W26" s="57" t="s">
        <v>1174</v>
      </c>
      <c r="X26" s="57" t="s">
        <v>578</v>
      </c>
      <c r="Y26" s="57" t="s">
        <v>1270</v>
      </c>
      <c r="Z26" s="112" t="s">
        <v>1178</v>
      </c>
      <c r="AA26" s="57" t="s">
        <v>1172</v>
      </c>
      <c r="AJ26" s="50"/>
    </row>
    <row r="27" spans="1:36">
      <c r="A27" s="45" t="s">
        <v>680</v>
      </c>
      <c r="B27" s="120">
        <v>1</v>
      </c>
      <c r="C27" t="s">
        <v>1271</v>
      </c>
      <c r="D27" s="57" t="s">
        <v>1272</v>
      </c>
      <c r="E27" s="128" t="s">
        <v>63</v>
      </c>
      <c r="F27" s="57">
        <v>175</v>
      </c>
      <c r="G27" s="57">
        <v>76</v>
      </c>
      <c r="H27" s="57">
        <v>43</v>
      </c>
      <c r="I27" s="57" t="s">
        <v>1197</v>
      </c>
      <c r="J27" s="57" t="s">
        <v>1170</v>
      </c>
      <c r="K27" s="57" t="s">
        <v>1273</v>
      </c>
      <c r="L27" s="57" t="s">
        <v>1172</v>
      </c>
      <c r="M27" s="57"/>
      <c r="N27" s="57" t="s">
        <v>1172</v>
      </c>
      <c r="O27" s="57"/>
      <c r="P27" s="112" t="s">
        <v>1199</v>
      </c>
      <c r="Q27" s="57" t="s">
        <v>1175</v>
      </c>
      <c r="R27" s="57" t="s">
        <v>578</v>
      </c>
      <c r="S27" s="57">
        <v>0</v>
      </c>
      <c r="T27" s="57">
        <v>0</v>
      </c>
      <c r="U27" s="57"/>
      <c r="V27" s="57"/>
      <c r="W27" s="57" t="s">
        <v>1174</v>
      </c>
      <c r="X27" s="57" t="s">
        <v>578</v>
      </c>
      <c r="Y27" s="57" t="s">
        <v>1274</v>
      </c>
      <c r="Z27" s="112" t="s">
        <v>1185</v>
      </c>
      <c r="AA27" s="57" t="s">
        <v>1172</v>
      </c>
      <c r="AJ27" s="50"/>
    </row>
    <row r="28" spans="1:36">
      <c r="A28" s="45" t="s">
        <v>696</v>
      </c>
      <c r="B28" s="120">
        <v>1</v>
      </c>
      <c r="C28" t="s">
        <v>1275</v>
      </c>
      <c r="D28" s="57" t="s">
        <v>1275</v>
      </c>
      <c r="E28" s="128" t="s">
        <v>85</v>
      </c>
      <c r="F28" s="57">
        <v>163</v>
      </c>
      <c r="G28" s="57">
        <v>55</v>
      </c>
      <c r="H28" s="57">
        <v>51</v>
      </c>
      <c r="I28" s="57" t="s">
        <v>1228</v>
      </c>
      <c r="J28" s="57" t="s">
        <v>1170</v>
      </c>
      <c r="K28" s="57" t="s">
        <v>1192</v>
      </c>
      <c r="L28" s="57" t="s">
        <v>1172</v>
      </c>
      <c r="M28" s="57"/>
      <c r="N28" s="57" t="s">
        <v>1172</v>
      </c>
      <c r="O28" s="57"/>
      <c r="P28" s="112" t="s">
        <v>1276</v>
      </c>
      <c r="Q28" s="57" t="s">
        <v>1175</v>
      </c>
      <c r="R28" s="57" t="s">
        <v>578</v>
      </c>
      <c r="S28" s="57"/>
      <c r="T28" s="57">
        <v>0</v>
      </c>
      <c r="U28" s="57"/>
      <c r="V28" s="57"/>
      <c r="W28" s="57">
        <v>0</v>
      </c>
      <c r="X28" s="57" t="s">
        <v>1172</v>
      </c>
      <c r="Y28" s="57"/>
      <c r="Z28" s="112" t="s">
        <v>1201</v>
      </c>
      <c r="AA28" s="57" t="s">
        <v>578</v>
      </c>
      <c r="AJ28" s="50"/>
    </row>
    <row r="29" spans="1:36">
      <c r="A29" s="45" t="s">
        <v>699</v>
      </c>
      <c r="B29" s="120">
        <v>1</v>
      </c>
      <c r="C29" t="s">
        <v>1277</v>
      </c>
      <c r="D29" s="57" t="s">
        <v>1277</v>
      </c>
      <c r="E29" s="128" t="s">
        <v>85</v>
      </c>
      <c r="F29" s="57">
        <v>156</v>
      </c>
      <c r="G29" s="57">
        <v>47</v>
      </c>
      <c r="H29" s="57">
        <v>48</v>
      </c>
      <c r="I29" s="57" t="s">
        <v>1197</v>
      </c>
      <c r="J29" s="57" t="s">
        <v>1170</v>
      </c>
      <c r="K29" s="57" t="s">
        <v>1192</v>
      </c>
      <c r="L29" s="57" t="s">
        <v>1172</v>
      </c>
      <c r="M29" s="57"/>
      <c r="N29" s="57" t="s">
        <v>1172</v>
      </c>
      <c r="O29" s="57"/>
      <c r="P29" s="112" t="s">
        <v>1174</v>
      </c>
      <c r="Q29" s="57" t="s">
        <v>1175</v>
      </c>
      <c r="R29" s="57" t="s">
        <v>1172</v>
      </c>
      <c r="S29" s="57"/>
      <c r="T29" s="57"/>
      <c r="U29" s="57"/>
      <c r="V29" s="57"/>
      <c r="W29" s="57" t="s">
        <v>1199</v>
      </c>
      <c r="X29" s="57" t="s">
        <v>1172</v>
      </c>
      <c r="Y29" s="57"/>
      <c r="Z29" s="112" t="s">
        <v>1201</v>
      </c>
      <c r="AA29" s="57" t="s">
        <v>1172</v>
      </c>
      <c r="AJ29" s="50"/>
    </row>
    <row r="30" spans="1:36">
      <c r="A30" s="45" t="s">
        <v>718</v>
      </c>
      <c r="B30" s="120">
        <v>1</v>
      </c>
      <c r="C30" t="s">
        <v>1278</v>
      </c>
      <c r="D30" s="57" t="s">
        <v>1278</v>
      </c>
      <c r="E30" s="128" t="s">
        <v>85</v>
      </c>
      <c r="F30" s="57">
        <v>164</v>
      </c>
      <c r="G30" s="57">
        <v>65</v>
      </c>
      <c r="H30" s="57">
        <v>59</v>
      </c>
      <c r="I30" s="57" t="s">
        <v>1197</v>
      </c>
      <c r="J30" s="57" t="s">
        <v>1170</v>
      </c>
      <c r="K30" s="57" t="s">
        <v>1261</v>
      </c>
      <c r="L30" s="57" t="s">
        <v>1172</v>
      </c>
      <c r="M30" s="57"/>
      <c r="N30" s="57" t="s">
        <v>1172</v>
      </c>
      <c r="O30" s="57"/>
      <c r="P30" s="112" t="s">
        <v>1174</v>
      </c>
      <c r="Q30" s="57" t="s">
        <v>1175</v>
      </c>
      <c r="R30" s="57" t="s">
        <v>1172</v>
      </c>
      <c r="S30" s="57"/>
      <c r="T30" s="57"/>
      <c r="U30" s="57"/>
      <c r="V30" s="57"/>
      <c r="W30" s="57" t="s">
        <v>1174</v>
      </c>
      <c r="X30" s="57" t="s">
        <v>1172</v>
      </c>
      <c r="Y30" s="57"/>
      <c r="Z30" s="112" t="s">
        <v>1185</v>
      </c>
      <c r="AA30" s="57" t="s">
        <v>1172</v>
      </c>
      <c r="AJ30" s="50"/>
    </row>
    <row r="31" spans="1:36">
      <c r="A31" s="45" t="s">
        <v>730</v>
      </c>
      <c r="B31" s="120">
        <v>1</v>
      </c>
      <c r="C31" t="s">
        <v>1279</v>
      </c>
      <c r="D31" s="57" t="s">
        <v>1279</v>
      </c>
      <c r="E31" s="128" t="s">
        <v>85</v>
      </c>
      <c r="F31" s="57">
        <v>166</v>
      </c>
      <c r="G31" s="57">
        <v>82</v>
      </c>
      <c r="H31" s="57">
        <v>42</v>
      </c>
      <c r="I31" s="57" t="s">
        <v>1280</v>
      </c>
      <c r="J31" s="57" t="s">
        <v>1170</v>
      </c>
      <c r="K31" s="57" t="s">
        <v>1281</v>
      </c>
      <c r="L31" s="57" t="s">
        <v>1172</v>
      </c>
      <c r="M31" s="57"/>
      <c r="N31" s="57" t="s">
        <v>1172</v>
      </c>
      <c r="O31" s="57"/>
      <c r="P31" s="112" t="s">
        <v>1174</v>
      </c>
      <c r="Q31" s="57" t="s">
        <v>1175</v>
      </c>
      <c r="R31" s="57" t="s">
        <v>578</v>
      </c>
      <c r="S31" s="57"/>
      <c r="T31" s="57">
        <v>0</v>
      </c>
      <c r="U31" s="57"/>
      <c r="V31" s="57"/>
      <c r="W31" s="57">
        <v>0</v>
      </c>
      <c r="X31" s="57" t="s">
        <v>578</v>
      </c>
      <c r="Y31" s="57" t="s">
        <v>1282</v>
      </c>
      <c r="Z31" s="112" t="s">
        <v>1178</v>
      </c>
      <c r="AA31" s="57" t="s">
        <v>578</v>
      </c>
      <c r="AJ31" s="50"/>
    </row>
    <row r="32" spans="1:36">
      <c r="A32" s="45" t="s">
        <v>744</v>
      </c>
      <c r="B32" s="120">
        <v>1</v>
      </c>
      <c r="C32" t="s">
        <v>1283</v>
      </c>
      <c r="D32" s="57" t="s">
        <v>1283</v>
      </c>
      <c r="E32" s="128" t="s">
        <v>85</v>
      </c>
      <c r="F32" s="57">
        <v>148</v>
      </c>
      <c r="G32" s="57">
        <v>45</v>
      </c>
      <c r="H32" s="57">
        <v>63</v>
      </c>
      <c r="I32" s="57" t="s">
        <v>1191</v>
      </c>
      <c r="J32" s="57" t="s">
        <v>1170</v>
      </c>
      <c r="K32" s="57" t="s">
        <v>1192</v>
      </c>
      <c r="L32" s="57" t="s">
        <v>1172</v>
      </c>
      <c r="M32" s="57"/>
      <c r="N32" s="57" t="s">
        <v>1172</v>
      </c>
      <c r="O32" s="57"/>
      <c r="P32" s="112" t="s">
        <v>1174</v>
      </c>
      <c r="Q32" s="57" t="s">
        <v>1175</v>
      </c>
      <c r="R32" s="57" t="s">
        <v>578</v>
      </c>
      <c r="S32" s="57"/>
      <c r="T32" s="57">
        <v>0</v>
      </c>
      <c r="U32" s="57"/>
      <c r="V32" s="57"/>
      <c r="W32" s="57" t="s">
        <v>1174</v>
      </c>
      <c r="X32" s="57" t="s">
        <v>1172</v>
      </c>
      <c r="Y32" s="57"/>
      <c r="Z32" s="112" t="s">
        <v>1185</v>
      </c>
      <c r="AA32" s="57" t="s">
        <v>1172</v>
      </c>
      <c r="AJ32" s="50"/>
    </row>
    <row r="33" spans="1:36">
      <c r="A33" s="45" t="s">
        <v>747</v>
      </c>
      <c r="B33" s="120">
        <v>1</v>
      </c>
      <c r="C33" t="s">
        <v>1284</v>
      </c>
      <c r="D33" s="57" t="s">
        <v>1284</v>
      </c>
      <c r="E33" s="128" t="s">
        <v>85</v>
      </c>
      <c r="F33" s="57">
        <v>1.62</v>
      </c>
      <c r="G33" s="57">
        <v>65</v>
      </c>
      <c r="H33" s="57">
        <v>62</v>
      </c>
      <c r="I33" s="57" t="s">
        <v>1197</v>
      </c>
      <c r="J33" s="57" t="s">
        <v>1170</v>
      </c>
      <c r="K33" s="57" t="s">
        <v>1261</v>
      </c>
      <c r="L33" s="57" t="s">
        <v>1172</v>
      </c>
      <c r="M33" s="57"/>
      <c r="N33" s="57" t="s">
        <v>1172</v>
      </c>
      <c r="O33" s="57"/>
      <c r="P33" s="112" t="s">
        <v>1276</v>
      </c>
      <c r="Q33" s="57" t="s">
        <v>1285</v>
      </c>
      <c r="R33" s="57" t="s">
        <v>578</v>
      </c>
      <c r="S33" s="57" t="s">
        <v>1286</v>
      </c>
      <c r="T33" s="57">
        <v>0</v>
      </c>
      <c r="U33" s="57"/>
      <c r="V33" s="57"/>
      <c r="W33" s="57" t="s">
        <v>1174</v>
      </c>
      <c r="X33" s="57" t="s">
        <v>1172</v>
      </c>
      <c r="Y33" s="57"/>
      <c r="Z33" s="112" t="s">
        <v>1178</v>
      </c>
      <c r="AA33" s="57" t="s">
        <v>578</v>
      </c>
      <c r="AJ33" s="50"/>
    </row>
    <row r="34" spans="1:36">
      <c r="A34" s="45" t="s">
        <v>761</v>
      </c>
      <c r="B34" s="120">
        <v>1</v>
      </c>
      <c r="C34" t="s">
        <v>1287</v>
      </c>
      <c r="D34" s="57" t="s">
        <v>1287</v>
      </c>
      <c r="E34" s="128" t="s">
        <v>63</v>
      </c>
      <c r="F34" s="57">
        <v>180</v>
      </c>
      <c r="G34" s="57">
        <v>79</v>
      </c>
      <c r="H34" s="57">
        <v>54</v>
      </c>
      <c r="I34" s="57" t="s">
        <v>1197</v>
      </c>
      <c r="J34" s="57" t="s">
        <v>1170</v>
      </c>
      <c r="K34" s="57" t="s">
        <v>1192</v>
      </c>
      <c r="L34" s="57" t="s">
        <v>1172</v>
      </c>
      <c r="M34" s="57"/>
      <c r="N34" s="57" t="s">
        <v>1172</v>
      </c>
      <c r="O34" s="57"/>
      <c r="P34" s="112" t="s">
        <v>1174</v>
      </c>
      <c r="Q34" s="57" t="s">
        <v>1175</v>
      </c>
      <c r="R34" s="57" t="s">
        <v>578</v>
      </c>
      <c r="S34" s="57">
        <v>0</v>
      </c>
      <c r="T34" s="57">
        <v>0</v>
      </c>
      <c r="U34" s="57"/>
      <c r="V34" s="57"/>
      <c r="W34" s="57" t="s">
        <v>1174</v>
      </c>
      <c r="X34" s="57" t="s">
        <v>578</v>
      </c>
      <c r="Y34" s="57" t="s">
        <v>10</v>
      </c>
      <c r="Z34" s="112" t="s">
        <v>1185</v>
      </c>
      <c r="AA34" s="57" t="s">
        <v>578</v>
      </c>
      <c r="AJ34" s="50"/>
    </row>
    <row r="35" spans="1:36">
      <c r="A35" s="45" t="s">
        <v>764</v>
      </c>
      <c r="B35" s="120">
        <v>1</v>
      </c>
      <c r="C35" t="s">
        <v>1288</v>
      </c>
      <c r="D35" s="57" t="s">
        <v>1289</v>
      </c>
      <c r="E35" s="128" t="s">
        <v>85</v>
      </c>
      <c r="F35" s="57">
        <v>165</v>
      </c>
      <c r="G35" s="57">
        <v>70</v>
      </c>
      <c r="H35" s="57">
        <v>55</v>
      </c>
      <c r="I35" s="57" t="s">
        <v>1197</v>
      </c>
      <c r="J35" s="57" t="s">
        <v>1170</v>
      </c>
      <c r="K35" s="57" t="s">
        <v>1269</v>
      </c>
      <c r="L35" s="57" t="s">
        <v>1172</v>
      </c>
      <c r="M35" s="57"/>
      <c r="N35" s="57" t="s">
        <v>1172</v>
      </c>
      <c r="O35" s="57"/>
      <c r="P35" s="112" t="s">
        <v>1174</v>
      </c>
      <c r="Q35" s="57" t="s">
        <v>1175</v>
      </c>
      <c r="R35" s="57" t="s">
        <v>1172</v>
      </c>
      <c r="S35" s="57"/>
      <c r="T35" s="57"/>
      <c r="U35" s="57"/>
      <c r="V35" s="57"/>
      <c r="W35" s="57" t="s">
        <v>1174</v>
      </c>
      <c r="X35" s="57" t="s">
        <v>578</v>
      </c>
      <c r="Y35" s="57" t="s">
        <v>1290</v>
      </c>
      <c r="Z35" s="112" t="s">
        <v>1178</v>
      </c>
      <c r="AA35" s="57" t="s">
        <v>1172</v>
      </c>
      <c r="AJ35" s="50"/>
    </row>
    <row r="36" spans="1:36">
      <c r="A36" s="45" t="s">
        <v>768</v>
      </c>
      <c r="B36" s="120">
        <v>1</v>
      </c>
      <c r="C36" t="s">
        <v>1291</v>
      </c>
      <c r="D36" s="57" t="s">
        <v>1291</v>
      </c>
      <c r="E36" s="128" t="s">
        <v>63</v>
      </c>
      <c r="F36" s="57">
        <v>168</v>
      </c>
      <c r="G36" s="57">
        <v>70</v>
      </c>
      <c r="H36" s="57">
        <v>53</v>
      </c>
      <c r="I36" s="57" t="s">
        <v>1292</v>
      </c>
      <c r="J36" s="57" t="s">
        <v>1170</v>
      </c>
      <c r="K36" s="57" t="s">
        <v>1293</v>
      </c>
      <c r="L36" s="57" t="s">
        <v>1172</v>
      </c>
      <c r="M36" s="57"/>
      <c r="N36" s="57" t="s">
        <v>1172</v>
      </c>
      <c r="O36" s="57"/>
      <c r="P36" s="112" t="s">
        <v>1199</v>
      </c>
      <c r="Q36" s="57" t="s">
        <v>1175</v>
      </c>
      <c r="R36" s="57" t="s">
        <v>578</v>
      </c>
      <c r="S36" s="57">
        <v>2</v>
      </c>
      <c r="T36" s="57">
        <v>0</v>
      </c>
      <c r="U36" s="57"/>
      <c r="V36" s="57"/>
      <c r="W36" s="57" t="s">
        <v>1174</v>
      </c>
      <c r="X36" s="57" t="s">
        <v>578</v>
      </c>
      <c r="Y36" s="57" t="s">
        <v>1294</v>
      </c>
      <c r="Z36" s="112" t="s">
        <v>1185</v>
      </c>
      <c r="AA36" s="57" t="s">
        <v>1172</v>
      </c>
      <c r="AJ36" s="50"/>
    </row>
    <row r="37" spans="1:36">
      <c r="A37" s="45" t="s">
        <v>791</v>
      </c>
      <c r="B37" s="120">
        <v>1</v>
      </c>
      <c r="C37" t="s">
        <v>1295</v>
      </c>
      <c r="D37" s="57" t="s">
        <v>1296</v>
      </c>
      <c r="E37" s="128" t="s">
        <v>63</v>
      </c>
      <c r="F37" s="57">
        <v>169</v>
      </c>
      <c r="G37" s="57">
        <v>60</v>
      </c>
      <c r="H37" s="57">
        <v>53</v>
      </c>
      <c r="I37" s="57" t="s">
        <v>1232</v>
      </c>
      <c r="J37" s="57" t="s">
        <v>1170</v>
      </c>
      <c r="K37" s="57" t="s">
        <v>1297</v>
      </c>
      <c r="L37" s="57" t="s">
        <v>1172</v>
      </c>
      <c r="M37" s="57"/>
      <c r="N37" s="57" t="s">
        <v>1172</v>
      </c>
      <c r="O37" s="57"/>
      <c r="P37" s="112" t="s">
        <v>1174</v>
      </c>
      <c r="Q37" s="57" t="s">
        <v>1175</v>
      </c>
      <c r="R37" s="57" t="s">
        <v>1172</v>
      </c>
      <c r="S37" s="57"/>
      <c r="T37" s="57"/>
      <c r="U37" s="57"/>
      <c r="V37" s="57"/>
      <c r="W37" s="57">
        <v>0</v>
      </c>
      <c r="X37" s="57" t="s">
        <v>1172</v>
      </c>
      <c r="Y37" s="57"/>
      <c r="Z37" s="112" t="s">
        <v>1201</v>
      </c>
      <c r="AA37" s="57" t="s">
        <v>578</v>
      </c>
      <c r="AJ37" s="50"/>
    </row>
    <row r="38" spans="1:36">
      <c r="A38" s="45" t="s">
        <v>795</v>
      </c>
      <c r="B38" s="120">
        <v>1</v>
      </c>
      <c r="C38" t="s">
        <v>1298</v>
      </c>
      <c r="D38" s="57" t="s">
        <v>1298</v>
      </c>
      <c r="E38" s="128" t="s">
        <v>85</v>
      </c>
      <c r="F38" s="57">
        <v>160</v>
      </c>
      <c r="G38" s="57">
        <v>63</v>
      </c>
      <c r="H38" s="57">
        <v>51</v>
      </c>
      <c r="I38" s="57" t="s">
        <v>1197</v>
      </c>
      <c r="J38" s="57" t="s">
        <v>1170</v>
      </c>
      <c r="K38" s="57" t="s">
        <v>1192</v>
      </c>
      <c r="L38" s="57" t="s">
        <v>1172</v>
      </c>
      <c r="M38" s="57"/>
      <c r="N38" s="57" t="s">
        <v>1172</v>
      </c>
      <c r="O38" s="57"/>
      <c r="P38" s="112" t="s">
        <v>1174</v>
      </c>
      <c r="Q38" s="57" t="s">
        <v>1175</v>
      </c>
      <c r="R38" s="57" t="s">
        <v>1172</v>
      </c>
      <c r="S38" s="57"/>
      <c r="T38" s="57"/>
      <c r="U38" s="57"/>
      <c r="V38" s="57"/>
      <c r="W38" s="57">
        <v>0</v>
      </c>
      <c r="X38" s="57" t="s">
        <v>1172</v>
      </c>
      <c r="Y38" s="57"/>
      <c r="Z38" s="112" t="s">
        <v>1185</v>
      </c>
      <c r="AA38" s="57" t="s">
        <v>578</v>
      </c>
      <c r="AJ38" s="50"/>
    </row>
    <row r="39" spans="1:36">
      <c r="A39" s="45" t="s">
        <v>811</v>
      </c>
      <c r="B39" s="120">
        <v>1</v>
      </c>
      <c r="C39" t="s">
        <v>1299</v>
      </c>
      <c r="D39" s="57" t="s">
        <v>1299</v>
      </c>
      <c r="E39" s="128" t="s">
        <v>85</v>
      </c>
      <c r="F39" s="57">
        <v>159</v>
      </c>
      <c r="G39" s="57" t="s">
        <v>1300</v>
      </c>
      <c r="H39" s="57">
        <v>50</v>
      </c>
      <c r="I39" s="57" t="s">
        <v>1197</v>
      </c>
      <c r="J39" s="57" t="s">
        <v>1170</v>
      </c>
      <c r="K39" s="57" t="s">
        <v>1192</v>
      </c>
      <c r="L39" s="57" t="s">
        <v>1172</v>
      </c>
      <c r="M39" s="57"/>
      <c r="N39" s="57" t="s">
        <v>1172</v>
      </c>
      <c r="O39" s="57"/>
      <c r="P39" s="112" t="s">
        <v>1199</v>
      </c>
      <c r="Q39" s="57" t="s">
        <v>1175</v>
      </c>
      <c r="R39" s="57" t="s">
        <v>1172</v>
      </c>
      <c r="S39" s="57"/>
      <c r="T39" s="57"/>
      <c r="U39" s="57"/>
      <c r="V39" s="57"/>
      <c r="W39" s="57" t="s">
        <v>1174</v>
      </c>
      <c r="X39" s="57" t="s">
        <v>1172</v>
      </c>
      <c r="Y39" s="57"/>
      <c r="Z39" s="112" t="s">
        <v>1185</v>
      </c>
      <c r="AA39" s="57" t="s">
        <v>578</v>
      </c>
      <c r="AJ39" s="50"/>
    </row>
    <row r="40" spans="1:36">
      <c r="A40" s="45" t="s">
        <v>821</v>
      </c>
      <c r="B40" s="120">
        <v>1</v>
      </c>
      <c r="C40" t="s">
        <v>1301</v>
      </c>
      <c r="D40" s="57" t="s">
        <v>1301</v>
      </c>
      <c r="E40" s="128" t="s">
        <v>85</v>
      </c>
      <c r="F40" s="92">
        <v>152</v>
      </c>
      <c r="G40" s="57">
        <v>50</v>
      </c>
      <c r="H40" s="57">
        <v>59</v>
      </c>
      <c r="I40" s="57" t="s">
        <v>1228</v>
      </c>
      <c r="J40" s="57" t="s">
        <v>1170</v>
      </c>
      <c r="K40" s="57" t="s">
        <v>1302</v>
      </c>
      <c r="L40" s="57" t="s">
        <v>1172</v>
      </c>
      <c r="M40" s="57"/>
      <c r="N40" s="57" t="s">
        <v>1172</v>
      </c>
      <c r="O40" s="57"/>
      <c r="P40" s="112" t="s">
        <v>1174</v>
      </c>
      <c r="Q40" s="57" t="s">
        <v>1175</v>
      </c>
      <c r="R40" s="57" t="s">
        <v>1172</v>
      </c>
      <c r="S40" s="57"/>
      <c r="T40" s="57"/>
      <c r="U40" s="57"/>
      <c r="V40" s="57"/>
      <c r="W40" s="57" t="s">
        <v>1174</v>
      </c>
      <c r="X40" s="57" t="s">
        <v>578</v>
      </c>
      <c r="Y40" s="57" t="s">
        <v>1303</v>
      </c>
      <c r="Z40" s="112" t="s">
        <v>1178</v>
      </c>
      <c r="AA40" s="57" t="s">
        <v>578</v>
      </c>
      <c r="AJ40" s="50"/>
    </row>
    <row r="41" spans="1:36">
      <c r="A41" s="45" t="s">
        <v>835</v>
      </c>
      <c r="B41" s="120">
        <v>1</v>
      </c>
      <c r="C41" t="s">
        <v>1304</v>
      </c>
      <c r="D41" s="57" t="s">
        <v>1305</v>
      </c>
      <c r="E41" s="128" t="s">
        <v>63</v>
      </c>
      <c r="F41" s="92">
        <v>169</v>
      </c>
      <c r="G41" s="57">
        <v>95</v>
      </c>
      <c r="H41" s="57">
        <v>56</v>
      </c>
      <c r="I41" s="57" t="s">
        <v>1232</v>
      </c>
      <c r="J41" s="57" t="s">
        <v>1170</v>
      </c>
      <c r="K41" s="57" t="s">
        <v>1306</v>
      </c>
      <c r="L41" s="57" t="s">
        <v>1172</v>
      </c>
      <c r="M41" s="57"/>
      <c r="N41" s="57" t="s">
        <v>1172</v>
      </c>
      <c r="O41" s="57"/>
      <c r="P41" s="112" t="s">
        <v>1174</v>
      </c>
      <c r="Q41" s="57" t="s">
        <v>1175</v>
      </c>
      <c r="R41" s="57" t="s">
        <v>1172</v>
      </c>
      <c r="S41" s="57"/>
      <c r="T41" s="57"/>
      <c r="U41" s="57"/>
      <c r="V41" s="57"/>
      <c r="W41" s="57" t="s">
        <v>1174</v>
      </c>
      <c r="X41" s="57" t="s">
        <v>1172</v>
      </c>
      <c r="Y41" s="57"/>
      <c r="Z41" s="112" t="s">
        <v>1201</v>
      </c>
      <c r="AA41" s="57" t="s">
        <v>578</v>
      </c>
      <c r="AJ41" s="50"/>
    </row>
    <row r="42" spans="1:36">
      <c r="A42" s="45" t="s">
        <v>891</v>
      </c>
      <c r="B42" s="120">
        <v>1</v>
      </c>
      <c r="C42" s="82" t="s">
        <v>1307</v>
      </c>
      <c r="D42" s="50" t="s">
        <v>1308</v>
      </c>
      <c r="E42" s="129" t="s">
        <v>85</v>
      </c>
      <c r="F42" s="92">
        <v>167</v>
      </c>
      <c r="G42" s="50">
        <v>57</v>
      </c>
      <c r="H42" s="50">
        <v>46</v>
      </c>
      <c r="I42" s="50" t="s">
        <v>1309</v>
      </c>
      <c r="J42" s="50" t="s">
        <v>1170</v>
      </c>
      <c r="K42" s="50" t="s">
        <v>1192</v>
      </c>
      <c r="L42" s="50" t="s">
        <v>1172</v>
      </c>
      <c r="M42" s="50"/>
      <c r="N42" s="50" t="s">
        <v>1172</v>
      </c>
      <c r="O42" s="50"/>
      <c r="P42" s="113" t="s">
        <v>1174</v>
      </c>
      <c r="Q42" s="50" t="s">
        <v>1175</v>
      </c>
      <c r="R42" s="50" t="s">
        <v>578</v>
      </c>
      <c r="S42" s="50">
        <v>0</v>
      </c>
      <c r="T42" s="50">
        <v>0</v>
      </c>
      <c r="U42" s="50"/>
      <c r="V42" s="50"/>
      <c r="W42" s="50" t="s">
        <v>1174</v>
      </c>
      <c r="X42" s="50" t="s">
        <v>1172</v>
      </c>
      <c r="Y42" s="50"/>
      <c r="Z42" s="113" t="s">
        <v>1185</v>
      </c>
      <c r="AA42" s="50" t="s">
        <v>1172</v>
      </c>
      <c r="AJ42" s="50"/>
    </row>
    <row r="43" spans="1:36">
      <c r="A43" s="45" t="s">
        <v>894</v>
      </c>
      <c r="B43" s="120">
        <v>1</v>
      </c>
      <c r="C43" s="78" t="s">
        <v>1310</v>
      </c>
      <c r="D43" s="50" t="s">
        <v>1311</v>
      </c>
      <c r="E43" s="129" t="s">
        <v>85</v>
      </c>
      <c r="F43" s="92">
        <v>150</v>
      </c>
      <c r="G43" s="50">
        <v>41</v>
      </c>
      <c r="H43" s="50">
        <v>51</v>
      </c>
      <c r="I43" s="50" t="s">
        <v>1197</v>
      </c>
      <c r="J43" s="50" t="s">
        <v>1170</v>
      </c>
      <c r="K43" s="50"/>
      <c r="L43" s="50" t="s">
        <v>1172</v>
      </c>
      <c r="M43" s="50"/>
      <c r="N43" s="50" t="s">
        <v>1172</v>
      </c>
      <c r="O43" s="50"/>
      <c r="P43" s="113" t="s">
        <v>1174</v>
      </c>
      <c r="Q43" s="50" t="s">
        <v>1175</v>
      </c>
      <c r="R43" s="50" t="s">
        <v>1172</v>
      </c>
      <c r="S43" s="50"/>
      <c r="T43" s="50"/>
      <c r="U43" s="50"/>
      <c r="V43" s="50"/>
      <c r="W43" s="50" t="s">
        <v>1174</v>
      </c>
      <c r="X43" s="50" t="s">
        <v>1172</v>
      </c>
      <c r="Y43" s="50"/>
      <c r="Z43" s="113" t="s">
        <v>1201</v>
      </c>
      <c r="AA43" s="50" t="s">
        <v>1172</v>
      </c>
      <c r="AJ43" s="50"/>
    </row>
    <row r="44" spans="1:36">
      <c r="A44" s="45" t="s">
        <v>911</v>
      </c>
      <c r="B44" s="120">
        <v>1</v>
      </c>
      <c r="C44" s="78" t="s">
        <v>1312</v>
      </c>
      <c r="D44" s="50" t="s">
        <v>1312</v>
      </c>
      <c r="E44" s="129" t="s">
        <v>63</v>
      </c>
      <c r="F44" s="92">
        <v>173</v>
      </c>
      <c r="G44" s="50">
        <v>75</v>
      </c>
      <c r="H44" s="50">
        <v>51</v>
      </c>
      <c r="I44" s="50" t="s">
        <v>1228</v>
      </c>
      <c r="J44" s="50" t="s">
        <v>1170</v>
      </c>
      <c r="K44" s="50" t="s">
        <v>1192</v>
      </c>
      <c r="L44" s="50" t="s">
        <v>1172</v>
      </c>
      <c r="M44" s="50"/>
      <c r="N44" s="50" t="s">
        <v>1172</v>
      </c>
      <c r="O44" s="50"/>
      <c r="P44" s="113" t="s">
        <v>1174</v>
      </c>
      <c r="Q44" s="50" t="s">
        <v>1175</v>
      </c>
      <c r="R44" s="50" t="s">
        <v>1172</v>
      </c>
      <c r="S44" s="50"/>
      <c r="T44" s="50"/>
      <c r="U44" s="50"/>
      <c r="V44" s="50"/>
      <c r="W44" s="50">
        <v>0</v>
      </c>
      <c r="X44" s="50" t="s">
        <v>1172</v>
      </c>
      <c r="Y44" s="50"/>
      <c r="Z44" s="113" t="s">
        <v>1185</v>
      </c>
      <c r="AA44" s="50" t="s">
        <v>1172</v>
      </c>
      <c r="AJ44" s="50"/>
    </row>
    <row r="45" spans="1:36">
      <c r="A45" s="45" t="s">
        <v>932</v>
      </c>
      <c r="B45" s="120">
        <v>1</v>
      </c>
      <c r="C45" s="39" t="s">
        <v>1313</v>
      </c>
      <c r="D45" s="50" t="s">
        <v>1314</v>
      </c>
      <c r="E45" s="129" t="s">
        <v>85</v>
      </c>
      <c r="F45" s="92">
        <v>151</v>
      </c>
      <c r="G45" s="50">
        <v>50</v>
      </c>
      <c r="H45" s="50">
        <v>64</v>
      </c>
      <c r="I45" s="50" t="s">
        <v>1191</v>
      </c>
      <c r="J45" s="50" t="s">
        <v>1170</v>
      </c>
      <c r="K45" s="50" t="s">
        <v>1261</v>
      </c>
      <c r="L45" s="50" t="s">
        <v>1172</v>
      </c>
      <c r="M45" s="50"/>
      <c r="N45" s="50" t="s">
        <v>1172</v>
      </c>
      <c r="O45" s="50"/>
      <c r="P45" s="113" t="s">
        <v>1174</v>
      </c>
      <c r="Q45" s="50" t="s">
        <v>1175</v>
      </c>
      <c r="R45" s="50" t="s">
        <v>578</v>
      </c>
      <c r="S45" s="50"/>
      <c r="T45" s="50">
        <v>0</v>
      </c>
      <c r="U45" s="50"/>
      <c r="V45" s="50"/>
      <c r="W45" s="50">
        <v>0</v>
      </c>
      <c r="X45" s="50" t="s">
        <v>1172</v>
      </c>
      <c r="Y45" s="50"/>
      <c r="Z45" s="113" t="s">
        <v>1201</v>
      </c>
      <c r="AA45" s="50" t="s">
        <v>1172</v>
      </c>
      <c r="AJ45" s="51"/>
    </row>
    <row r="46" spans="1:36">
      <c r="A46" s="45" t="s">
        <v>961</v>
      </c>
      <c r="B46" s="120">
        <v>1</v>
      </c>
      <c r="C46" t="s">
        <v>1315</v>
      </c>
      <c r="D46" s="84" t="s">
        <v>1315</v>
      </c>
      <c r="E46" s="130" t="s">
        <v>85</v>
      </c>
      <c r="F46" s="84" t="s">
        <v>1316</v>
      </c>
      <c r="G46" s="84" t="s">
        <v>1204</v>
      </c>
      <c r="H46" s="57">
        <v>54</v>
      </c>
      <c r="I46" s="84" t="s">
        <v>1191</v>
      </c>
      <c r="J46" s="84" t="s">
        <v>1170</v>
      </c>
      <c r="K46" s="84" t="s">
        <v>1192</v>
      </c>
      <c r="L46" s="84" t="s">
        <v>1172</v>
      </c>
      <c r="M46" s="84"/>
      <c r="N46" s="84" t="s">
        <v>1172</v>
      </c>
      <c r="O46" s="84"/>
      <c r="P46" s="114" t="s">
        <v>1174</v>
      </c>
      <c r="Q46" s="84" t="s">
        <v>1175</v>
      </c>
      <c r="R46" s="84" t="s">
        <v>1172</v>
      </c>
      <c r="S46" s="84"/>
      <c r="T46" s="84"/>
      <c r="U46" s="84"/>
      <c r="V46" s="84"/>
      <c r="W46" s="84" t="s">
        <v>1177</v>
      </c>
      <c r="X46" s="84" t="s">
        <v>1172</v>
      </c>
      <c r="Y46" s="84"/>
      <c r="Z46" s="114" t="s">
        <v>1185</v>
      </c>
      <c r="AA46" s="84" t="s">
        <v>1172</v>
      </c>
      <c r="AJ46" s="51"/>
    </row>
    <row r="47" spans="1:36">
      <c r="A47" s="45" t="s">
        <v>1010</v>
      </c>
      <c r="B47" s="120">
        <v>1</v>
      </c>
      <c r="C47" s="39" t="s">
        <v>1317</v>
      </c>
      <c r="D47" s="84" t="s">
        <v>1317</v>
      </c>
      <c r="E47" s="130" t="s">
        <v>63</v>
      </c>
      <c r="F47" s="84" t="s">
        <v>1318</v>
      </c>
      <c r="G47" s="84" t="s">
        <v>1319</v>
      </c>
      <c r="H47" s="57">
        <v>65</v>
      </c>
      <c r="I47" s="84" t="s">
        <v>1197</v>
      </c>
      <c r="J47" s="84" t="s">
        <v>1170</v>
      </c>
      <c r="K47" s="84" t="s">
        <v>1269</v>
      </c>
      <c r="L47" s="84" t="s">
        <v>1172</v>
      </c>
      <c r="M47" s="84"/>
      <c r="N47" s="84" t="s">
        <v>1172</v>
      </c>
      <c r="O47" s="84"/>
      <c r="P47" s="114" t="s">
        <v>1174</v>
      </c>
      <c r="Q47" s="84" t="s">
        <v>1175</v>
      </c>
      <c r="R47" s="84" t="s">
        <v>578</v>
      </c>
      <c r="S47" s="84" t="s">
        <v>1320</v>
      </c>
      <c r="T47" s="84" t="s">
        <v>1177</v>
      </c>
      <c r="U47" s="84"/>
      <c r="V47" s="84"/>
      <c r="W47" s="84" t="s">
        <v>1174</v>
      </c>
      <c r="X47" s="84" t="s">
        <v>1172</v>
      </c>
      <c r="Y47" s="84"/>
      <c r="Z47" s="114" t="s">
        <v>1201</v>
      </c>
      <c r="AA47" s="84" t="s">
        <v>1172</v>
      </c>
      <c r="AJ47" s="50"/>
    </row>
    <row r="48" spans="1:36">
      <c r="A48" s="45" t="s">
        <v>1017</v>
      </c>
      <c r="B48" s="120">
        <v>1</v>
      </c>
      <c r="C48" s="39" t="s">
        <v>1321</v>
      </c>
      <c r="D48" s="84" t="s">
        <v>1322</v>
      </c>
      <c r="E48" s="130" t="s">
        <v>63</v>
      </c>
      <c r="F48" s="84" t="s">
        <v>1323</v>
      </c>
      <c r="G48" s="84" t="s">
        <v>1168</v>
      </c>
      <c r="H48" s="57">
        <v>47</v>
      </c>
      <c r="I48" s="84" t="s">
        <v>1197</v>
      </c>
      <c r="J48" s="84" t="s">
        <v>1170</v>
      </c>
      <c r="K48" s="84" t="s">
        <v>1184</v>
      </c>
      <c r="L48" s="84" t="s">
        <v>1172</v>
      </c>
      <c r="M48" s="84"/>
      <c r="N48" s="84" t="s">
        <v>1172</v>
      </c>
      <c r="O48" s="84"/>
      <c r="P48" s="114" t="s">
        <v>1174</v>
      </c>
      <c r="Q48" s="84" t="s">
        <v>1175</v>
      </c>
      <c r="R48" s="84" t="s">
        <v>578</v>
      </c>
      <c r="S48" s="84" t="s">
        <v>1177</v>
      </c>
      <c r="T48" s="84" t="s">
        <v>1177</v>
      </c>
      <c r="U48" s="84"/>
      <c r="V48" s="84"/>
      <c r="W48" s="84" t="s">
        <v>1177</v>
      </c>
      <c r="X48" s="84" t="s">
        <v>1172</v>
      </c>
      <c r="Y48" s="84"/>
      <c r="Z48" s="114" t="s">
        <v>1185</v>
      </c>
      <c r="AA48" s="84" t="s">
        <v>578</v>
      </c>
      <c r="AJ48" s="50"/>
    </row>
    <row r="49" spans="1:36">
      <c r="A49" s="45" t="s">
        <v>1033</v>
      </c>
      <c r="B49" s="120">
        <v>1</v>
      </c>
      <c r="C49" s="78" t="s">
        <v>1324</v>
      </c>
      <c r="D49" s="84" t="s">
        <v>1324</v>
      </c>
      <c r="E49" s="130" t="s">
        <v>63</v>
      </c>
      <c r="F49" s="84" t="s">
        <v>1325</v>
      </c>
      <c r="G49" s="84" t="s">
        <v>1326</v>
      </c>
      <c r="H49" s="57">
        <v>45</v>
      </c>
      <c r="I49" s="84" t="s">
        <v>1197</v>
      </c>
      <c r="J49" s="84" t="s">
        <v>1170</v>
      </c>
      <c r="K49" s="84" t="s">
        <v>1171</v>
      </c>
      <c r="L49" s="84" t="s">
        <v>1172</v>
      </c>
      <c r="M49" s="84"/>
      <c r="N49" s="84" t="s">
        <v>1172</v>
      </c>
      <c r="O49" s="84"/>
      <c r="P49" s="114" t="s">
        <v>1174</v>
      </c>
      <c r="Q49" s="84" t="s">
        <v>1175</v>
      </c>
      <c r="R49" s="84" t="s">
        <v>1172</v>
      </c>
      <c r="S49" s="84"/>
      <c r="T49" s="84"/>
      <c r="U49" s="84"/>
      <c r="V49" s="84"/>
      <c r="W49" s="84" t="s">
        <v>1174</v>
      </c>
      <c r="X49" s="84" t="s">
        <v>578</v>
      </c>
      <c r="Y49" s="84" t="s">
        <v>1327</v>
      </c>
      <c r="Z49" s="114" t="s">
        <v>1185</v>
      </c>
      <c r="AA49" s="84" t="s">
        <v>1172</v>
      </c>
      <c r="AJ49" s="50"/>
    </row>
    <row r="50" spans="1:36">
      <c r="A50" s="45" t="s">
        <v>1065</v>
      </c>
      <c r="B50" s="120">
        <v>1</v>
      </c>
      <c r="C50" s="39" t="s">
        <v>1328</v>
      </c>
      <c r="D50" s="84" t="s">
        <v>1329</v>
      </c>
      <c r="E50" s="130" t="s">
        <v>63</v>
      </c>
      <c r="F50" s="84" t="s">
        <v>1330</v>
      </c>
      <c r="G50" s="84" t="s">
        <v>1331</v>
      </c>
      <c r="H50" s="57">
        <v>51</v>
      </c>
      <c r="I50" s="84" t="s">
        <v>1197</v>
      </c>
      <c r="J50" s="84" t="s">
        <v>1183</v>
      </c>
      <c r="K50" s="84" t="s">
        <v>1184</v>
      </c>
      <c r="L50" s="84" t="s">
        <v>1172</v>
      </c>
      <c r="M50" s="84"/>
      <c r="N50" s="84" t="s">
        <v>1172</v>
      </c>
      <c r="O50" s="84"/>
      <c r="P50" s="114" t="s">
        <v>1174</v>
      </c>
      <c r="Q50" s="84" t="s">
        <v>1175</v>
      </c>
      <c r="R50" s="84" t="s">
        <v>1172</v>
      </c>
      <c r="S50" s="84"/>
      <c r="T50" s="84"/>
      <c r="U50" s="84"/>
      <c r="V50" s="84"/>
      <c r="W50" s="84" t="s">
        <v>1177</v>
      </c>
      <c r="X50" s="84" t="s">
        <v>1172</v>
      </c>
      <c r="Y50" s="84"/>
      <c r="Z50" s="114" t="s">
        <v>1178</v>
      </c>
      <c r="AA50" s="84" t="s">
        <v>1172</v>
      </c>
      <c r="AJ50" s="50"/>
    </row>
    <row r="51" spans="1:36">
      <c r="A51" s="45" t="s">
        <v>1082</v>
      </c>
      <c r="B51" s="120">
        <v>1</v>
      </c>
      <c r="C51" s="39" t="s">
        <v>1332</v>
      </c>
      <c r="D51" s="84" t="s">
        <v>1332</v>
      </c>
      <c r="E51" s="130" t="s">
        <v>63</v>
      </c>
      <c r="F51" s="84" t="s">
        <v>1180</v>
      </c>
      <c r="G51" s="84" t="s">
        <v>1333</v>
      </c>
      <c r="H51" s="57">
        <v>66</v>
      </c>
      <c r="I51" s="84" t="s">
        <v>1228</v>
      </c>
      <c r="J51" s="84" t="s">
        <v>1170</v>
      </c>
      <c r="K51" s="84" t="s">
        <v>1192</v>
      </c>
      <c r="L51" s="84" t="s">
        <v>1172</v>
      </c>
      <c r="M51" s="84"/>
      <c r="N51" s="84" t="s">
        <v>1172</v>
      </c>
      <c r="O51" s="84"/>
      <c r="P51" s="114" t="s">
        <v>1174</v>
      </c>
      <c r="Q51" s="84" t="s">
        <v>1175</v>
      </c>
      <c r="R51" s="84" t="s">
        <v>1172</v>
      </c>
      <c r="S51" s="84"/>
      <c r="T51" s="84"/>
      <c r="U51" s="84"/>
      <c r="V51" s="84"/>
      <c r="W51" s="84" t="s">
        <v>1177</v>
      </c>
      <c r="X51" s="84" t="s">
        <v>1172</v>
      </c>
      <c r="Y51" s="84"/>
      <c r="Z51" s="114" t="s">
        <v>1185</v>
      </c>
      <c r="AA51" s="84" t="s">
        <v>1172</v>
      </c>
      <c r="AJ51" s="50"/>
    </row>
    <row r="52" spans="1:36">
      <c r="A52" s="45" t="s">
        <v>1084</v>
      </c>
      <c r="B52" s="120">
        <v>1</v>
      </c>
      <c r="C52" s="39" t="s">
        <v>1334</v>
      </c>
      <c r="D52" s="84" t="s">
        <v>1335</v>
      </c>
      <c r="E52" s="130" t="s">
        <v>63</v>
      </c>
      <c r="F52" s="84" t="s">
        <v>1336</v>
      </c>
      <c r="G52" s="84" t="s">
        <v>1337</v>
      </c>
      <c r="H52" s="57">
        <v>47</v>
      </c>
      <c r="I52" s="84" t="s">
        <v>1169</v>
      </c>
      <c r="J52" s="84" t="s">
        <v>1170</v>
      </c>
      <c r="K52" s="84" t="s">
        <v>1281</v>
      </c>
      <c r="L52" s="84" t="s">
        <v>1172</v>
      </c>
      <c r="M52" s="84"/>
      <c r="N52" s="84" t="s">
        <v>1172</v>
      </c>
      <c r="O52" s="84"/>
      <c r="P52" s="114" t="s">
        <v>1174</v>
      </c>
      <c r="Q52" s="84" t="s">
        <v>1175</v>
      </c>
      <c r="R52" s="84" t="s">
        <v>1172</v>
      </c>
      <c r="S52" s="84"/>
      <c r="T52" s="84"/>
      <c r="U52" s="84"/>
      <c r="V52" s="84"/>
      <c r="W52" s="84" t="s">
        <v>1174</v>
      </c>
      <c r="X52" s="84" t="s">
        <v>578</v>
      </c>
      <c r="Y52" s="84" t="s">
        <v>1338</v>
      </c>
      <c r="Z52" s="114" t="s">
        <v>1185</v>
      </c>
      <c r="AA52" s="84" t="s">
        <v>578</v>
      </c>
      <c r="AJ52" s="50"/>
    </row>
    <row r="53" spans="1:36">
      <c r="A53" s="45" t="s">
        <v>1093</v>
      </c>
      <c r="B53" s="120">
        <v>1</v>
      </c>
      <c r="C53" s="39" t="s">
        <v>1339</v>
      </c>
      <c r="D53" s="84" t="s">
        <v>1340</v>
      </c>
      <c r="E53" s="130" t="s">
        <v>63</v>
      </c>
      <c r="F53" s="84" t="s">
        <v>1323</v>
      </c>
      <c r="G53" s="84" t="s">
        <v>1196</v>
      </c>
      <c r="H53" s="57">
        <v>41</v>
      </c>
      <c r="I53" s="84" t="s">
        <v>1309</v>
      </c>
      <c r="J53" s="84" t="s">
        <v>1233</v>
      </c>
      <c r="K53" s="84" t="s">
        <v>1237</v>
      </c>
      <c r="L53" s="84" t="s">
        <v>1172</v>
      </c>
      <c r="M53" s="84"/>
      <c r="N53" s="84" t="s">
        <v>1172</v>
      </c>
      <c r="O53" s="84"/>
      <c r="P53" s="114" t="s">
        <v>1199</v>
      </c>
      <c r="Q53" s="84" t="s">
        <v>1175</v>
      </c>
      <c r="R53" s="84" t="s">
        <v>578</v>
      </c>
      <c r="S53" s="84"/>
      <c r="T53" s="84" t="s">
        <v>1177</v>
      </c>
      <c r="U53" s="84"/>
      <c r="V53" s="84"/>
      <c r="W53" s="84" t="s">
        <v>1174</v>
      </c>
      <c r="X53" s="84" t="s">
        <v>578</v>
      </c>
      <c r="Y53" s="84" t="s">
        <v>1341</v>
      </c>
      <c r="Z53" s="114" t="s">
        <v>1185</v>
      </c>
      <c r="AA53" s="84" t="s">
        <v>578</v>
      </c>
      <c r="AJ53" s="50"/>
    </row>
    <row r="54" spans="1:36">
      <c r="A54" s="45" t="s">
        <v>1096</v>
      </c>
      <c r="B54" s="120">
        <v>1</v>
      </c>
      <c r="C54" s="39" t="s">
        <v>1342</v>
      </c>
      <c r="D54" s="84" t="s">
        <v>1343</v>
      </c>
      <c r="E54" s="130" t="s">
        <v>63</v>
      </c>
      <c r="F54" s="84" t="s">
        <v>1344</v>
      </c>
      <c r="G54" s="84" t="s">
        <v>1345</v>
      </c>
      <c r="H54" s="57">
        <v>40</v>
      </c>
      <c r="I54" s="84" t="s">
        <v>1228</v>
      </c>
      <c r="J54" s="84" t="s">
        <v>1233</v>
      </c>
      <c r="K54" s="84" t="s">
        <v>1184</v>
      </c>
      <c r="L54" s="84" t="s">
        <v>1172</v>
      </c>
      <c r="M54" s="84"/>
      <c r="N54" s="84" t="s">
        <v>1172</v>
      </c>
      <c r="O54" s="84"/>
      <c r="P54" s="114" t="s">
        <v>1174</v>
      </c>
      <c r="Q54" s="84" t="s">
        <v>1175</v>
      </c>
      <c r="R54" s="84" t="s">
        <v>1172</v>
      </c>
      <c r="S54" s="84"/>
      <c r="T54" s="84"/>
      <c r="U54" s="84"/>
      <c r="V54" s="84"/>
      <c r="W54" s="84" t="s">
        <v>1174</v>
      </c>
      <c r="X54" s="84" t="s">
        <v>578</v>
      </c>
      <c r="Y54" s="84" t="s">
        <v>1346</v>
      </c>
      <c r="Z54" s="114" t="s">
        <v>1201</v>
      </c>
      <c r="AA54" s="84" t="s">
        <v>578</v>
      </c>
      <c r="AJ54" s="50"/>
    </row>
    <row r="55" spans="1:36">
      <c r="A55" s="45" t="s">
        <v>1104</v>
      </c>
      <c r="B55" s="120">
        <v>1</v>
      </c>
      <c r="C55" s="39" t="s">
        <v>1347</v>
      </c>
      <c r="D55" s="84" t="s">
        <v>1348</v>
      </c>
      <c r="E55" s="130" t="s">
        <v>63</v>
      </c>
      <c r="F55" s="84" t="s">
        <v>1349</v>
      </c>
      <c r="G55" s="84" t="s">
        <v>1350</v>
      </c>
      <c r="H55" s="57">
        <v>60</v>
      </c>
      <c r="I55" s="84" t="s">
        <v>1228</v>
      </c>
      <c r="J55" s="84" t="s">
        <v>1170</v>
      </c>
      <c r="K55" s="84" t="s">
        <v>1351</v>
      </c>
      <c r="L55" s="84" t="s">
        <v>1172</v>
      </c>
      <c r="M55" s="84"/>
      <c r="N55" s="84" t="s">
        <v>1172</v>
      </c>
      <c r="O55" s="84"/>
      <c r="P55" s="114" t="s">
        <v>1174</v>
      </c>
      <c r="Q55" s="84" t="s">
        <v>1175</v>
      </c>
      <c r="R55" s="84" t="s">
        <v>1172</v>
      </c>
      <c r="S55" s="84"/>
      <c r="T55" s="84"/>
      <c r="U55" s="84"/>
      <c r="V55" s="84"/>
      <c r="W55" s="84" t="s">
        <v>1174</v>
      </c>
      <c r="X55" s="84" t="s">
        <v>578</v>
      </c>
      <c r="Y55" s="84" t="s">
        <v>1352</v>
      </c>
      <c r="Z55" s="114" t="s">
        <v>1201</v>
      </c>
      <c r="AA55" s="84" t="s">
        <v>1172</v>
      </c>
      <c r="AJ55" s="50"/>
    </row>
    <row r="56" spans="1:36">
      <c r="A56" s="45" t="s">
        <v>1107</v>
      </c>
      <c r="B56" s="120">
        <v>1</v>
      </c>
      <c r="C56" s="39" t="s">
        <v>1353</v>
      </c>
      <c r="D56" s="84" t="s">
        <v>1353</v>
      </c>
      <c r="E56" s="130" t="s">
        <v>63</v>
      </c>
      <c r="F56" s="84" t="s">
        <v>1180</v>
      </c>
      <c r="G56" s="84" t="s">
        <v>1354</v>
      </c>
      <c r="H56" s="57">
        <v>46</v>
      </c>
      <c r="I56" s="84" t="s">
        <v>1228</v>
      </c>
      <c r="J56" s="84" t="s">
        <v>1170</v>
      </c>
      <c r="K56" s="84" t="s">
        <v>1281</v>
      </c>
      <c r="L56" s="84" t="s">
        <v>1172</v>
      </c>
      <c r="M56" s="84"/>
      <c r="N56" s="84" t="s">
        <v>1172</v>
      </c>
      <c r="O56" s="84"/>
      <c r="P56" s="114" t="s">
        <v>1174</v>
      </c>
      <c r="Q56" s="84" t="s">
        <v>1175</v>
      </c>
      <c r="R56" s="84" t="s">
        <v>1172</v>
      </c>
      <c r="S56" s="84"/>
      <c r="T56" s="84"/>
      <c r="U56" s="84"/>
      <c r="V56" s="84"/>
      <c r="W56" s="84" t="s">
        <v>1174</v>
      </c>
      <c r="X56" s="84" t="s">
        <v>1172</v>
      </c>
      <c r="Y56" s="84"/>
      <c r="Z56" s="114" t="s">
        <v>1201</v>
      </c>
      <c r="AA56" s="84" t="s">
        <v>1172</v>
      </c>
      <c r="AJ56" s="50"/>
    </row>
    <row r="57" spans="1:36">
      <c r="A57" s="45" t="s">
        <v>1113</v>
      </c>
      <c r="B57" s="120">
        <v>1</v>
      </c>
      <c r="C57" s="39" t="s">
        <v>1355</v>
      </c>
      <c r="D57" s="84" t="s">
        <v>1356</v>
      </c>
      <c r="E57" s="130" t="s">
        <v>85</v>
      </c>
      <c r="F57" s="84" t="s">
        <v>1167</v>
      </c>
      <c r="G57" s="84" t="s">
        <v>1357</v>
      </c>
      <c r="H57" s="57">
        <v>50</v>
      </c>
      <c r="I57" s="84" t="s">
        <v>1197</v>
      </c>
      <c r="J57" s="84" t="s">
        <v>1233</v>
      </c>
      <c r="K57" s="84" t="s">
        <v>1302</v>
      </c>
      <c r="L57" s="84" t="s">
        <v>1172</v>
      </c>
      <c r="M57" s="84"/>
      <c r="N57" s="84" t="s">
        <v>1172</v>
      </c>
      <c r="O57" s="84"/>
      <c r="P57" s="114" t="s">
        <v>1174</v>
      </c>
      <c r="Q57" s="84" t="s">
        <v>1238</v>
      </c>
      <c r="R57" s="84" t="s">
        <v>578</v>
      </c>
      <c r="S57" s="84" t="s">
        <v>1358</v>
      </c>
      <c r="T57" s="84" t="s">
        <v>1177</v>
      </c>
      <c r="U57" s="84"/>
      <c r="V57" s="84"/>
      <c r="W57" s="84" t="s">
        <v>1177</v>
      </c>
      <c r="X57" s="84" t="s">
        <v>1172</v>
      </c>
      <c r="Y57" s="84"/>
      <c r="Z57" s="114" t="s">
        <v>1178</v>
      </c>
      <c r="AA57" s="84" t="s">
        <v>578</v>
      </c>
      <c r="AJ57" s="50"/>
    </row>
    <row r="58" spans="1:36">
      <c r="A58" s="45" t="s">
        <v>1115</v>
      </c>
      <c r="B58" s="120">
        <v>1</v>
      </c>
      <c r="C58" s="39" t="s">
        <v>1359</v>
      </c>
      <c r="D58" s="84" t="s">
        <v>1360</v>
      </c>
      <c r="E58" s="130" t="s">
        <v>63</v>
      </c>
      <c r="F58" s="84" t="s">
        <v>1361</v>
      </c>
      <c r="G58" s="84" t="s">
        <v>1362</v>
      </c>
      <c r="H58" s="57">
        <v>65</v>
      </c>
      <c r="I58" s="84" t="s">
        <v>1228</v>
      </c>
      <c r="J58" s="84" t="s">
        <v>1170</v>
      </c>
      <c r="K58" s="84" t="s">
        <v>1363</v>
      </c>
      <c r="L58" s="84" t="s">
        <v>1172</v>
      </c>
      <c r="M58" s="84"/>
      <c r="N58" s="84" t="s">
        <v>1172</v>
      </c>
      <c r="O58" s="84"/>
      <c r="P58" s="114" t="s">
        <v>1174</v>
      </c>
      <c r="Q58" s="84" t="s">
        <v>1238</v>
      </c>
      <c r="R58" s="84" t="s">
        <v>578</v>
      </c>
      <c r="S58" s="84"/>
      <c r="T58" s="84" t="s">
        <v>1177</v>
      </c>
      <c r="U58" s="84"/>
      <c r="V58" s="84"/>
      <c r="W58" s="84" t="s">
        <v>1174</v>
      </c>
      <c r="X58" s="84" t="s">
        <v>1172</v>
      </c>
      <c r="Y58" s="84"/>
      <c r="Z58" s="114" t="s">
        <v>1185</v>
      </c>
      <c r="AA58" s="84" t="s">
        <v>1172</v>
      </c>
      <c r="AJ58" s="50"/>
    </row>
    <row r="59" spans="1:36">
      <c r="A59" s="45" t="s">
        <v>1121</v>
      </c>
      <c r="B59" s="120">
        <v>1</v>
      </c>
      <c r="C59" s="39" t="s">
        <v>1364</v>
      </c>
      <c r="D59" s="84" t="s">
        <v>1364</v>
      </c>
      <c r="E59" s="130" t="s">
        <v>63</v>
      </c>
      <c r="F59" s="84" t="s">
        <v>1365</v>
      </c>
      <c r="G59" s="84" t="s">
        <v>1326</v>
      </c>
      <c r="H59" s="57">
        <v>47</v>
      </c>
      <c r="I59" s="84" t="s">
        <v>1197</v>
      </c>
      <c r="J59" s="84" t="s">
        <v>1170</v>
      </c>
      <c r="K59" s="84" t="s">
        <v>1281</v>
      </c>
      <c r="L59" s="84" t="s">
        <v>1172</v>
      </c>
      <c r="M59" s="84"/>
      <c r="N59" s="84" t="s">
        <v>1172</v>
      </c>
      <c r="O59" s="84"/>
      <c r="P59" s="114" t="s">
        <v>1174</v>
      </c>
      <c r="Q59" s="84" t="s">
        <v>1238</v>
      </c>
      <c r="R59" s="84" t="s">
        <v>578</v>
      </c>
      <c r="S59" s="84" t="s">
        <v>1366</v>
      </c>
      <c r="T59" s="84" t="s">
        <v>1174</v>
      </c>
      <c r="U59" s="84" t="s">
        <v>1367</v>
      </c>
      <c r="V59" s="84" t="s">
        <v>1368</v>
      </c>
      <c r="W59" s="84" t="s">
        <v>1174</v>
      </c>
      <c r="X59" s="84" t="s">
        <v>1172</v>
      </c>
      <c r="Y59" s="84"/>
      <c r="Z59" s="114" t="s">
        <v>1185</v>
      </c>
      <c r="AA59" s="84" t="s">
        <v>1172</v>
      </c>
      <c r="AJ59" s="50"/>
    </row>
    <row r="60" spans="1:36">
      <c r="A60" s="45" t="s">
        <v>1127</v>
      </c>
      <c r="B60" s="120">
        <v>1</v>
      </c>
      <c r="C60" s="39" t="s">
        <v>1369</v>
      </c>
      <c r="D60" s="84" t="s">
        <v>1370</v>
      </c>
      <c r="E60" s="130" t="s">
        <v>63</v>
      </c>
      <c r="F60" s="84" t="s">
        <v>1180</v>
      </c>
      <c r="G60" s="84" t="s">
        <v>1371</v>
      </c>
      <c r="H60" s="57">
        <v>52</v>
      </c>
      <c r="I60" s="84" t="s">
        <v>1372</v>
      </c>
      <c r="J60" s="84" t="s">
        <v>1170</v>
      </c>
      <c r="K60" s="84" t="s">
        <v>1373</v>
      </c>
      <c r="L60" s="84" t="s">
        <v>1172</v>
      </c>
      <c r="M60" s="84"/>
      <c r="N60" s="84" t="s">
        <v>1172</v>
      </c>
      <c r="O60" s="84"/>
      <c r="P60" s="114" t="s">
        <v>1174</v>
      </c>
      <c r="Q60" s="84" t="s">
        <v>1175</v>
      </c>
      <c r="R60" s="84" t="s">
        <v>1172</v>
      </c>
      <c r="S60" s="84"/>
      <c r="T60" s="84"/>
      <c r="U60" s="84"/>
      <c r="V60" s="84"/>
      <c r="W60" s="84" t="s">
        <v>1174</v>
      </c>
      <c r="X60" s="84" t="s">
        <v>578</v>
      </c>
      <c r="Y60" s="84" t="s">
        <v>1374</v>
      </c>
      <c r="Z60" s="114" t="s">
        <v>1185</v>
      </c>
      <c r="AA60" s="84" t="s">
        <v>1172</v>
      </c>
      <c r="AJ60" s="50"/>
    </row>
    <row r="61" spans="1:36">
      <c r="A61" s="45" t="s">
        <v>1130</v>
      </c>
      <c r="B61" s="120">
        <v>1</v>
      </c>
      <c r="C61" s="39" t="s">
        <v>1375</v>
      </c>
      <c r="D61" s="84" t="s">
        <v>1376</v>
      </c>
      <c r="E61" s="130" t="s">
        <v>63</v>
      </c>
      <c r="F61" s="84" t="s">
        <v>1325</v>
      </c>
      <c r="G61" s="84" t="s">
        <v>1350</v>
      </c>
      <c r="H61" s="57">
        <v>50</v>
      </c>
      <c r="I61" s="84" t="s">
        <v>1228</v>
      </c>
      <c r="J61" s="84" t="s">
        <v>1170</v>
      </c>
      <c r="K61" s="84" t="s">
        <v>1377</v>
      </c>
      <c r="L61" s="84" t="s">
        <v>1172</v>
      </c>
      <c r="M61" s="84"/>
      <c r="N61" s="84" t="s">
        <v>1172</v>
      </c>
      <c r="O61" s="84"/>
      <c r="P61" s="114" t="s">
        <v>1174</v>
      </c>
      <c r="Q61" s="84" t="s">
        <v>1175</v>
      </c>
      <c r="R61" s="84" t="s">
        <v>578</v>
      </c>
      <c r="S61" s="84" t="s">
        <v>1378</v>
      </c>
      <c r="T61" s="84" t="s">
        <v>1177</v>
      </c>
      <c r="U61" s="84"/>
      <c r="V61" s="84"/>
      <c r="W61" s="84" t="s">
        <v>1174</v>
      </c>
      <c r="X61" s="84" t="s">
        <v>578</v>
      </c>
      <c r="Y61" s="84" t="s">
        <v>1379</v>
      </c>
      <c r="Z61" s="114" t="s">
        <v>1178</v>
      </c>
      <c r="AA61" s="84" t="s">
        <v>578</v>
      </c>
      <c r="AJ61" s="50"/>
    </row>
    <row r="62" spans="1:36">
      <c r="A62" s="122" t="s">
        <v>944</v>
      </c>
      <c r="B62" s="120">
        <v>1</v>
      </c>
      <c r="C62" s="136" t="s">
        <v>1380</v>
      </c>
      <c r="D62" s="126" t="s">
        <v>1381</v>
      </c>
      <c r="E62" s="129" t="s">
        <v>63</v>
      </c>
      <c r="F62" s="92">
        <v>172</v>
      </c>
      <c r="G62" s="50">
        <v>74</v>
      </c>
      <c r="H62" s="50">
        <v>65</v>
      </c>
      <c r="I62" s="50" t="s">
        <v>1197</v>
      </c>
      <c r="J62" s="50" t="s">
        <v>1170</v>
      </c>
      <c r="K62" s="50" t="s">
        <v>1293</v>
      </c>
      <c r="L62" s="50" t="s">
        <v>1172</v>
      </c>
      <c r="M62" s="50"/>
      <c r="N62" s="50" t="s">
        <v>1172</v>
      </c>
      <c r="O62" s="50"/>
      <c r="P62" s="113" t="s">
        <v>1199</v>
      </c>
      <c r="Q62" s="50" t="s">
        <v>1175</v>
      </c>
      <c r="R62" s="50" t="s">
        <v>1172</v>
      </c>
      <c r="S62" s="50"/>
      <c r="T62" s="50"/>
      <c r="U62" s="50"/>
      <c r="V62" s="50"/>
      <c r="W62" s="50" t="s">
        <v>1174</v>
      </c>
      <c r="X62" s="50" t="s">
        <v>1172</v>
      </c>
      <c r="Y62" s="50"/>
      <c r="Z62" s="113" t="s">
        <v>1201</v>
      </c>
      <c r="AA62" s="50" t="s">
        <v>1172</v>
      </c>
      <c r="AJ62" s="50"/>
    </row>
    <row r="63" spans="1:36">
      <c r="A63" s="122" t="s">
        <v>427</v>
      </c>
      <c r="B63" s="123"/>
      <c r="C63" s="126" t="s">
        <v>1382</v>
      </c>
      <c r="D63" s="127" t="s">
        <v>1383</v>
      </c>
      <c r="E63" s="133" t="s">
        <v>63</v>
      </c>
      <c r="F63" s="41">
        <v>170</v>
      </c>
      <c r="G63" s="41">
        <v>62</v>
      </c>
      <c r="H63" s="39">
        <v>46</v>
      </c>
      <c r="I63" s="39" t="s">
        <v>1197</v>
      </c>
      <c r="J63" s="39" t="s">
        <v>1170</v>
      </c>
      <c r="K63" s="39" t="s">
        <v>1384</v>
      </c>
      <c r="L63" s="39" t="s">
        <v>1172</v>
      </c>
      <c r="M63" s="91"/>
      <c r="N63" s="39" t="s">
        <v>1172</v>
      </c>
      <c r="O63" s="91"/>
      <c r="P63" s="110" t="s">
        <v>1199</v>
      </c>
      <c r="Q63" s="39" t="s">
        <v>1238</v>
      </c>
      <c r="R63" s="39" t="s">
        <v>578</v>
      </c>
      <c r="S63" s="39">
        <v>20</v>
      </c>
      <c r="T63" s="39" t="s">
        <v>1174</v>
      </c>
      <c r="U63" s="39" t="s">
        <v>1385</v>
      </c>
      <c r="V63" s="39" t="s">
        <v>1367</v>
      </c>
      <c r="W63" s="39" t="s">
        <v>1174</v>
      </c>
      <c r="X63" s="39" t="s">
        <v>1172</v>
      </c>
      <c r="Y63" s="91"/>
      <c r="Z63" s="110" t="s">
        <v>1185</v>
      </c>
      <c r="AA63" s="39" t="s">
        <v>1172</v>
      </c>
      <c r="AJ63" s="58"/>
    </row>
    <row r="64" spans="1:36">
      <c r="A64" s="122" t="s">
        <v>771</v>
      </c>
      <c r="B64" s="123"/>
      <c r="C64" s="124" t="s">
        <v>1386</v>
      </c>
      <c r="D64" s="125" t="s">
        <v>1386</v>
      </c>
      <c r="E64" s="57" t="s">
        <v>85</v>
      </c>
      <c r="F64" s="57">
        <v>150</v>
      </c>
      <c r="G64" s="57">
        <v>48</v>
      </c>
      <c r="H64" s="57">
        <v>48</v>
      </c>
      <c r="I64" s="57" t="s">
        <v>1228</v>
      </c>
      <c r="J64" s="57" t="s">
        <v>1170</v>
      </c>
      <c r="K64" s="57" t="s">
        <v>1281</v>
      </c>
      <c r="L64" s="57" t="s">
        <v>1172</v>
      </c>
      <c r="M64" s="57"/>
      <c r="N64" s="57" t="s">
        <v>1172</v>
      </c>
      <c r="O64" s="57"/>
      <c r="P64" s="112" t="s">
        <v>1199</v>
      </c>
      <c r="Q64" s="57" t="s">
        <v>1175</v>
      </c>
      <c r="R64" s="57" t="s">
        <v>578</v>
      </c>
      <c r="S64" s="57">
        <v>10</v>
      </c>
      <c r="T64" s="57" t="s">
        <v>1174</v>
      </c>
      <c r="U64" s="57" t="s">
        <v>1367</v>
      </c>
      <c r="V64" s="57" t="s">
        <v>1244</v>
      </c>
      <c r="W64" s="57" t="s">
        <v>1174</v>
      </c>
      <c r="X64" s="57" t="s">
        <v>1172</v>
      </c>
      <c r="Y64" s="57"/>
      <c r="Z64" s="112" t="s">
        <v>1178</v>
      </c>
      <c r="AA64" s="57" t="s">
        <v>1172</v>
      </c>
      <c r="AJ64" s="58"/>
    </row>
    <row r="65" spans="1:36">
      <c r="A65" s="87" t="s">
        <v>61</v>
      </c>
      <c r="C65" s="50" t="s">
        <v>1387</v>
      </c>
      <c r="D65" s="88" t="s">
        <v>1387</v>
      </c>
      <c r="E65" s="134" t="s">
        <v>63</v>
      </c>
      <c r="F65" s="90" t="s">
        <v>1388</v>
      </c>
      <c r="G65" s="90" t="s">
        <v>1389</v>
      </c>
      <c r="H65">
        <v>43</v>
      </c>
      <c r="I65" s="89" t="s">
        <v>1390</v>
      </c>
      <c r="J65" s="89" t="s">
        <v>1391</v>
      </c>
      <c r="K65" s="89" t="s">
        <v>1184</v>
      </c>
      <c r="L65" s="89" t="s">
        <v>1172</v>
      </c>
      <c r="M65" s="89" t="s">
        <v>1173</v>
      </c>
      <c r="N65" s="89" t="s">
        <v>1172</v>
      </c>
      <c r="O65" s="89" t="s">
        <v>1173</v>
      </c>
      <c r="P65" s="109" t="s">
        <v>1174</v>
      </c>
      <c r="Q65" s="89" t="s">
        <v>1175</v>
      </c>
      <c r="R65" s="89" t="s">
        <v>578</v>
      </c>
      <c r="S65" s="89" t="s">
        <v>1366</v>
      </c>
      <c r="T65" s="89" t="s">
        <v>1177</v>
      </c>
      <c r="U65" s="89" t="s">
        <v>1173</v>
      </c>
      <c r="V65" s="89" t="s">
        <v>1173</v>
      </c>
      <c r="W65" s="89" t="s">
        <v>1174</v>
      </c>
      <c r="X65" s="89" t="s">
        <v>1172</v>
      </c>
      <c r="Y65" s="89" t="s">
        <v>1173</v>
      </c>
      <c r="Z65" s="109" t="s">
        <v>1178</v>
      </c>
      <c r="AA65" s="89" t="s">
        <v>1172</v>
      </c>
      <c r="AJ65" s="50"/>
    </row>
    <row r="66" spans="1:36">
      <c r="A66" s="87" t="s">
        <v>74</v>
      </c>
      <c r="C66" s="50" t="s">
        <v>1392</v>
      </c>
      <c r="D66" s="88" t="s">
        <v>1392</v>
      </c>
      <c r="E66" s="134" t="s">
        <v>63</v>
      </c>
      <c r="F66" s="90" t="s">
        <v>1388</v>
      </c>
      <c r="G66" s="90" t="s">
        <v>1393</v>
      </c>
      <c r="H66">
        <v>44</v>
      </c>
      <c r="I66" s="89" t="s">
        <v>1197</v>
      </c>
      <c r="J66" s="89" t="s">
        <v>1170</v>
      </c>
      <c r="K66" s="89" t="s">
        <v>1192</v>
      </c>
      <c r="L66" s="89" t="s">
        <v>1172</v>
      </c>
      <c r="M66" s="89" t="s">
        <v>1173</v>
      </c>
      <c r="N66" s="89" t="s">
        <v>1172</v>
      </c>
      <c r="O66" s="89" t="s">
        <v>1173</v>
      </c>
      <c r="P66" s="109" t="s">
        <v>1174</v>
      </c>
      <c r="Q66" s="89" t="s">
        <v>1175</v>
      </c>
      <c r="R66" s="89" t="s">
        <v>1172</v>
      </c>
      <c r="S66" s="89" t="s">
        <v>1173</v>
      </c>
      <c r="T66" s="89" t="s">
        <v>1173</v>
      </c>
      <c r="U66" s="89" t="s">
        <v>1173</v>
      </c>
      <c r="V66" s="89" t="s">
        <v>1173</v>
      </c>
      <c r="W66" s="89" t="s">
        <v>1174</v>
      </c>
      <c r="X66" s="89" t="s">
        <v>578</v>
      </c>
      <c r="Y66" s="89" t="s">
        <v>1394</v>
      </c>
      <c r="Z66" s="109" t="s">
        <v>1185</v>
      </c>
      <c r="AA66" s="89" t="s">
        <v>578</v>
      </c>
      <c r="AJ66" s="50"/>
    </row>
    <row r="67" spans="1:36">
      <c r="A67" s="87" t="s">
        <v>83</v>
      </c>
      <c r="C67" s="50" t="s">
        <v>1395</v>
      </c>
      <c r="D67" s="88" t="s">
        <v>1396</v>
      </c>
      <c r="E67" s="134" t="s">
        <v>85</v>
      </c>
      <c r="F67" s="90" t="s">
        <v>1397</v>
      </c>
      <c r="G67" s="90" t="s">
        <v>1188</v>
      </c>
      <c r="H67">
        <v>56</v>
      </c>
      <c r="I67" s="89" t="s">
        <v>1228</v>
      </c>
      <c r="J67" s="89" t="s">
        <v>1183</v>
      </c>
      <c r="K67" s="89" t="s">
        <v>1281</v>
      </c>
      <c r="L67" s="89" t="s">
        <v>1172</v>
      </c>
      <c r="M67" s="89" t="s">
        <v>1173</v>
      </c>
      <c r="N67" s="89" t="s">
        <v>1172</v>
      </c>
      <c r="O67" s="89" t="s">
        <v>1173</v>
      </c>
      <c r="P67" s="109" t="s">
        <v>1174</v>
      </c>
      <c r="Q67" s="89" t="s">
        <v>1175</v>
      </c>
      <c r="R67" s="89" t="s">
        <v>1172</v>
      </c>
      <c r="S67" s="89" t="s">
        <v>1173</v>
      </c>
      <c r="T67" s="89" t="s">
        <v>1173</v>
      </c>
      <c r="U67" s="89" t="s">
        <v>1173</v>
      </c>
      <c r="V67" s="89" t="s">
        <v>1173</v>
      </c>
      <c r="W67" s="89" t="s">
        <v>1174</v>
      </c>
      <c r="X67" s="89" t="s">
        <v>1172</v>
      </c>
      <c r="Y67" s="89" t="s">
        <v>1173</v>
      </c>
      <c r="Z67" s="109" t="s">
        <v>1185</v>
      </c>
      <c r="AA67" s="89" t="s">
        <v>578</v>
      </c>
      <c r="AJ67" s="50"/>
    </row>
    <row r="68" spans="1:36">
      <c r="A68" s="87" t="s">
        <v>97</v>
      </c>
      <c r="C68" s="50" t="s">
        <v>1398</v>
      </c>
      <c r="D68" s="88" t="s">
        <v>1399</v>
      </c>
      <c r="E68" s="134" t="s">
        <v>85</v>
      </c>
      <c r="F68" s="90" t="s">
        <v>1400</v>
      </c>
      <c r="G68" s="90" t="s">
        <v>1401</v>
      </c>
      <c r="H68">
        <v>50</v>
      </c>
      <c r="I68" s="89" t="s">
        <v>1228</v>
      </c>
      <c r="J68" s="89" t="s">
        <v>1170</v>
      </c>
      <c r="K68" s="89" t="s">
        <v>1281</v>
      </c>
      <c r="L68" s="89" t="s">
        <v>1172</v>
      </c>
      <c r="M68" s="89" t="s">
        <v>1173</v>
      </c>
      <c r="N68" s="89" t="s">
        <v>1172</v>
      </c>
      <c r="O68" s="89" t="s">
        <v>1173</v>
      </c>
      <c r="P68" s="109" t="s">
        <v>1177</v>
      </c>
      <c r="Q68" s="89" t="s">
        <v>1175</v>
      </c>
      <c r="R68" s="89" t="s">
        <v>1172</v>
      </c>
      <c r="S68" s="89" t="s">
        <v>1173</v>
      </c>
      <c r="T68" s="89" t="s">
        <v>1173</v>
      </c>
      <c r="U68" s="89" t="s">
        <v>1173</v>
      </c>
      <c r="V68" s="89" t="s">
        <v>1173</v>
      </c>
      <c r="W68" s="89" t="s">
        <v>1177</v>
      </c>
      <c r="X68" s="89" t="s">
        <v>1172</v>
      </c>
      <c r="Y68" s="89" t="s">
        <v>1173</v>
      </c>
      <c r="Z68" s="109" t="s">
        <v>1201</v>
      </c>
      <c r="AA68" s="89" t="s">
        <v>1172</v>
      </c>
      <c r="AJ68" s="50"/>
    </row>
    <row r="69" spans="1:36">
      <c r="A69" s="87" t="s">
        <v>116</v>
      </c>
      <c r="C69" s="50" t="s">
        <v>1402</v>
      </c>
      <c r="D69" s="88" t="s">
        <v>1402</v>
      </c>
      <c r="E69" s="134" t="s">
        <v>85</v>
      </c>
      <c r="F69" s="90" t="s">
        <v>1203</v>
      </c>
      <c r="G69" s="90" t="s">
        <v>1326</v>
      </c>
      <c r="H69">
        <v>53</v>
      </c>
      <c r="I69" s="89" t="s">
        <v>1197</v>
      </c>
      <c r="J69" s="89" t="s">
        <v>1170</v>
      </c>
      <c r="K69" s="89" t="s">
        <v>1403</v>
      </c>
      <c r="L69" s="89" t="s">
        <v>578</v>
      </c>
      <c r="M69" s="89" t="s">
        <v>1404</v>
      </c>
      <c r="N69" s="89" t="s">
        <v>1172</v>
      </c>
      <c r="O69" s="89" t="s">
        <v>1173</v>
      </c>
      <c r="P69" s="109" t="s">
        <v>1174</v>
      </c>
      <c r="Q69" s="89" t="s">
        <v>1175</v>
      </c>
      <c r="R69" s="89" t="s">
        <v>578</v>
      </c>
      <c r="S69" s="89" t="s">
        <v>1173</v>
      </c>
      <c r="T69" s="89" t="s">
        <v>1177</v>
      </c>
      <c r="U69" s="89" t="s">
        <v>1173</v>
      </c>
      <c r="V69" s="89" t="s">
        <v>1173</v>
      </c>
      <c r="W69" s="89" t="s">
        <v>1174</v>
      </c>
      <c r="X69" s="89" t="s">
        <v>578</v>
      </c>
      <c r="Y69" s="89" t="s">
        <v>1405</v>
      </c>
      <c r="Z69" s="109" t="s">
        <v>1207</v>
      </c>
      <c r="AA69" s="89" t="s">
        <v>578</v>
      </c>
      <c r="AJ69" s="50"/>
    </row>
    <row r="70" spans="1:36">
      <c r="A70" s="87" t="s">
        <v>127</v>
      </c>
      <c r="C70" s="50" t="s">
        <v>1406</v>
      </c>
      <c r="D70" s="88" t="s">
        <v>1406</v>
      </c>
      <c r="E70" s="134" t="s">
        <v>63</v>
      </c>
      <c r="F70" s="90" t="s">
        <v>1407</v>
      </c>
      <c r="G70" s="90" t="s">
        <v>1408</v>
      </c>
      <c r="H70">
        <v>41</v>
      </c>
      <c r="I70" s="89" t="s">
        <v>1197</v>
      </c>
      <c r="J70" s="89" t="s">
        <v>1170</v>
      </c>
      <c r="K70" s="89" t="s">
        <v>1184</v>
      </c>
      <c r="L70" s="89" t="s">
        <v>1172</v>
      </c>
      <c r="M70" s="89" t="s">
        <v>1173</v>
      </c>
      <c r="N70" s="89" t="s">
        <v>1172</v>
      </c>
      <c r="O70" s="89" t="s">
        <v>1173</v>
      </c>
      <c r="P70" s="109" t="s">
        <v>1174</v>
      </c>
      <c r="Q70" s="89" t="s">
        <v>1175</v>
      </c>
      <c r="R70" s="89" t="s">
        <v>1172</v>
      </c>
      <c r="S70" s="89" t="s">
        <v>1173</v>
      </c>
      <c r="T70" s="89" t="s">
        <v>1173</v>
      </c>
      <c r="U70" s="89" t="s">
        <v>1173</v>
      </c>
      <c r="V70" s="89" t="s">
        <v>1173</v>
      </c>
      <c r="W70" s="89" t="s">
        <v>1174</v>
      </c>
      <c r="X70" s="89" t="s">
        <v>578</v>
      </c>
      <c r="Y70" s="89" t="s">
        <v>1409</v>
      </c>
      <c r="Z70" s="109" t="s">
        <v>1185</v>
      </c>
      <c r="AA70" s="89" t="s">
        <v>578</v>
      </c>
      <c r="AJ70" s="51"/>
    </row>
    <row r="71" spans="1:36">
      <c r="A71" s="87" t="s">
        <v>159</v>
      </c>
      <c r="C71" s="50" t="s">
        <v>1410</v>
      </c>
      <c r="D71" s="88" t="s">
        <v>1410</v>
      </c>
      <c r="E71" s="134" t="s">
        <v>63</v>
      </c>
      <c r="F71" s="90" t="s">
        <v>1411</v>
      </c>
      <c r="G71" s="90" t="s">
        <v>1412</v>
      </c>
      <c r="H71">
        <v>59</v>
      </c>
      <c r="I71" s="89" t="s">
        <v>1197</v>
      </c>
      <c r="J71" s="89" t="s">
        <v>1183</v>
      </c>
      <c r="K71" s="89" t="s">
        <v>1184</v>
      </c>
      <c r="L71" s="89" t="s">
        <v>1172</v>
      </c>
      <c r="M71" s="89" t="s">
        <v>1173</v>
      </c>
      <c r="N71" s="89" t="s">
        <v>1172</v>
      </c>
      <c r="O71" s="89" t="s">
        <v>1173</v>
      </c>
      <c r="P71" s="109" t="s">
        <v>1276</v>
      </c>
      <c r="Q71" s="89" t="s">
        <v>1175</v>
      </c>
      <c r="R71" s="89" t="s">
        <v>578</v>
      </c>
      <c r="S71" s="89" t="s">
        <v>1413</v>
      </c>
      <c r="T71" s="89" t="s">
        <v>1174</v>
      </c>
      <c r="U71" s="89" t="s">
        <v>1367</v>
      </c>
      <c r="V71" s="89" t="s">
        <v>1368</v>
      </c>
      <c r="W71" s="89" t="s">
        <v>1199</v>
      </c>
      <c r="X71" s="89" t="s">
        <v>1172</v>
      </c>
      <c r="Y71" s="89" t="s">
        <v>1173</v>
      </c>
      <c r="Z71" s="109" t="s">
        <v>1178</v>
      </c>
      <c r="AA71" s="89" t="s">
        <v>1172</v>
      </c>
      <c r="AJ71" s="51"/>
    </row>
    <row r="72" spans="1:36">
      <c r="A72" s="87" t="s">
        <v>169</v>
      </c>
      <c r="C72" s="50" t="s">
        <v>1414</v>
      </c>
      <c r="D72" s="88" t="s">
        <v>1414</v>
      </c>
      <c r="E72" s="134" t="s">
        <v>85</v>
      </c>
      <c r="F72" s="90" t="s">
        <v>1187</v>
      </c>
      <c r="G72" s="90" t="s">
        <v>1415</v>
      </c>
      <c r="H72">
        <v>45</v>
      </c>
      <c r="I72" s="89" t="s">
        <v>1228</v>
      </c>
      <c r="J72" s="89" t="s">
        <v>1170</v>
      </c>
      <c r="K72" s="89" t="s">
        <v>1281</v>
      </c>
      <c r="L72" s="89" t="s">
        <v>1172</v>
      </c>
      <c r="M72" s="89" t="s">
        <v>1173</v>
      </c>
      <c r="N72" s="89" t="s">
        <v>1172</v>
      </c>
      <c r="O72" s="89" t="s">
        <v>1173</v>
      </c>
      <c r="P72" s="109" t="s">
        <v>1174</v>
      </c>
      <c r="Q72" s="89" t="s">
        <v>1175</v>
      </c>
      <c r="R72" s="89" t="s">
        <v>578</v>
      </c>
      <c r="S72" s="89" t="s">
        <v>1173</v>
      </c>
      <c r="T72" s="89" t="s">
        <v>1177</v>
      </c>
      <c r="U72" s="89" t="s">
        <v>1173</v>
      </c>
      <c r="V72" s="89" t="s">
        <v>1173</v>
      </c>
      <c r="W72" s="89" t="s">
        <v>1174</v>
      </c>
      <c r="X72" s="89" t="s">
        <v>1172</v>
      </c>
      <c r="Y72" s="89" t="s">
        <v>1173</v>
      </c>
      <c r="Z72" s="109" t="s">
        <v>1185</v>
      </c>
      <c r="AA72" s="89" t="s">
        <v>1172</v>
      </c>
      <c r="AJ72" s="51"/>
    </row>
    <row r="73" spans="1:36">
      <c r="A73" s="87" t="s">
        <v>187</v>
      </c>
      <c r="C73" s="50" t="s">
        <v>1416</v>
      </c>
      <c r="D73" s="88" t="s">
        <v>1416</v>
      </c>
      <c r="E73" s="134" t="s">
        <v>63</v>
      </c>
      <c r="F73" s="90" t="s">
        <v>1417</v>
      </c>
      <c r="G73" s="90" t="s">
        <v>1168</v>
      </c>
      <c r="H73">
        <v>42</v>
      </c>
      <c r="I73" s="89" t="s">
        <v>1418</v>
      </c>
      <c r="J73" s="89" t="s">
        <v>1170</v>
      </c>
      <c r="K73" s="89" t="s">
        <v>1419</v>
      </c>
      <c r="L73" s="89" t="s">
        <v>1172</v>
      </c>
      <c r="M73" s="89" t="s">
        <v>1173</v>
      </c>
      <c r="N73" s="89" t="s">
        <v>1172</v>
      </c>
      <c r="O73" s="89" t="s">
        <v>1173</v>
      </c>
      <c r="P73" s="109" t="s">
        <v>1174</v>
      </c>
      <c r="Q73" s="89" t="s">
        <v>1175</v>
      </c>
      <c r="R73" s="89" t="s">
        <v>578</v>
      </c>
      <c r="S73" s="89" t="s">
        <v>1420</v>
      </c>
      <c r="T73" s="89" t="s">
        <v>1177</v>
      </c>
      <c r="U73" s="89" t="s">
        <v>1173</v>
      </c>
      <c r="V73" s="89" t="s">
        <v>1173</v>
      </c>
      <c r="W73" s="89" t="s">
        <v>1177</v>
      </c>
      <c r="X73" s="89" t="s">
        <v>578</v>
      </c>
      <c r="Y73" s="89" t="s">
        <v>1421</v>
      </c>
      <c r="Z73" s="109" t="s">
        <v>1185</v>
      </c>
      <c r="AA73" s="89" t="s">
        <v>578</v>
      </c>
      <c r="AJ73" s="58"/>
    </row>
    <row r="74" spans="1:36">
      <c r="A74" s="87" t="s">
        <v>199</v>
      </c>
      <c r="C74" s="50" t="s">
        <v>1422</v>
      </c>
      <c r="D74" s="88" t="s">
        <v>1422</v>
      </c>
      <c r="E74" s="134" t="s">
        <v>85</v>
      </c>
      <c r="F74" s="90" t="s">
        <v>1423</v>
      </c>
      <c r="G74" s="90" t="s">
        <v>1362</v>
      </c>
      <c r="H74">
        <v>42</v>
      </c>
      <c r="I74" s="89" t="s">
        <v>1197</v>
      </c>
      <c r="J74" s="89" t="s">
        <v>1170</v>
      </c>
      <c r="K74" s="89" t="s">
        <v>1184</v>
      </c>
      <c r="L74" s="89" t="s">
        <v>1172</v>
      </c>
      <c r="M74" s="89" t="s">
        <v>1173</v>
      </c>
      <c r="N74" s="89" t="s">
        <v>1172</v>
      </c>
      <c r="O74" s="89" t="s">
        <v>1173</v>
      </c>
      <c r="P74" s="109" t="s">
        <v>1177</v>
      </c>
      <c r="Q74" s="89" t="s">
        <v>1175</v>
      </c>
      <c r="R74" s="89" t="s">
        <v>1172</v>
      </c>
      <c r="S74" s="89" t="s">
        <v>1173</v>
      </c>
      <c r="T74" s="89" t="s">
        <v>1173</v>
      </c>
      <c r="U74" s="89" t="s">
        <v>1173</v>
      </c>
      <c r="V74" s="89" t="s">
        <v>1173</v>
      </c>
      <c r="W74" s="89" t="s">
        <v>1174</v>
      </c>
      <c r="X74" s="89" t="s">
        <v>1172</v>
      </c>
      <c r="Y74" s="89" t="s">
        <v>1173</v>
      </c>
      <c r="Z74" s="109" t="s">
        <v>1178</v>
      </c>
      <c r="AA74" s="89" t="s">
        <v>578</v>
      </c>
      <c r="AJ74" s="58"/>
    </row>
    <row r="75" spans="1:36">
      <c r="A75" s="87" t="s">
        <v>208</v>
      </c>
      <c r="C75" s="50" t="s">
        <v>1424</v>
      </c>
      <c r="D75" s="88" t="s">
        <v>1424</v>
      </c>
      <c r="E75" s="134" t="s">
        <v>63</v>
      </c>
      <c r="F75" s="90" t="s">
        <v>1407</v>
      </c>
      <c r="G75" s="90" t="s">
        <v>1337</v>
      </c>
      <c r="H75">
        <v>57</v>
      </c>
      <c r="I75" s="89" t="s">
        <v>1191</v>
      </c>
      <c r="J75" s="89" t="s">
        <v>1183</v>
      </c>
      <c r="K75" s="89" t="s">
        <v>1184</v>
      </c>
      <c r="L75" s="89" t="s">
        <v>1172</v>
      </c>
      <c r="M75" s="89" t="s">
        <v>1173</v>
      </c>
      <c r="N75" s="89" t="s">
        <v>1172</v>
      </c>
      <c r="O75" s="89" t="s">
        <v>1173</v>
      </c>
      <c r="P75" s="109" t="s">
        <v>1174</v>
      </c>
      <c r="Q75" s="89" t="s">
        <v>1175</v>
      </c>
      <c r="R75" s="89" t="s">
        <v>1172</v>
      </c>
      <c r="S75" s="89" t="s">
        <v>1173</v>
      </c>
      <c r="T75" s="89" t="s">
        <v>1173</v>
      </c>
      <c r="U75" s="89" t="s">
        <v>1173</v>
      </c>
      <c r="V75" s="89" t="s">
        <v>1173</v>
      </c>
      <c r="W75" s="89" t="s">
        <v>1174</v>
      </c>
      <c r="X75" s="89" t="s">
        <v>1172</v>
      </c>
      <c r="Y75" s="89" t="s">
        <v>1173</v>
      </c>
      <c r="Z75" s="109" t="s">
        <v>1185</v>
      </c>
      <c r="AA75" s="89" t="s">
        <v>1172</v>
      </c>
    </row>
    <row r="76" spans="1:36">
      <c r="A76" s="87" t="s">
        <v>219</v>
      </c>
      <c r="C76" s="50" t="s">
        <v>1425</v>
      </c>
      <c r="D76" s="88" t="s">
        <v>1425</v>
      </c>
      <c r="E76" s="134" t="s">
        <v>85</v>
      </c>
      <c r="F76" s="90" t="s">
        <v>1344</v>
      </c>
      <c r="G76" s="90" t="s">
        <v>1426</v>
      </c>
      <c r="H76">
        <v>49</v>
      </c>
      <c r="I76" s="89" t="s">
        <v>1197</v>
      </c>
      <c r="J76" s="89" t="s">
        <v>1170</v>
      </c>
      <c r="K76" s="89" t="s">
        <v>1302</v>
      </c>
      <c r="L76" s="89" t="s">
        <v>1172</v>
      </c>
      <c r="M76" s="89" t="s">
        <v>1173</v>
      </c>
      <c r="N76" s="89" t="s">
        <v>1172</v>
      </c>
      <c r="O76" s="89" t="s">
        <v>1173</v>
      </c>
      <c r="P76" s="109" t="s">
        <v>1174</v>
      </c>
      <c r="Q76" s="89" t="s">
        <v>1175</v>
      </c>
      <c r="R76" s="89" t="s">
        <v>578</v>
      </c>
      <c r="S76" s="89" t="s">
        <v>1173</v>
      </c>
      <c r="T76" s="89" t="s">
        <v>1177</v>
      </c>
      <c r="U76" s="89" t="s">
        <v>1173</v>
      </c>
      <c r="V76" s="89" t="s">
        <v>1173</v>
      </c>
      <c r="W76" s="89" t="s">
        <v>1177</v>
      </c>
      <c r="X76" s="89" t="s">
        <v>1172</v>
      </c>
      <c r="Y76" s="89" t="s">
        <v>1173</v>
      </c>
      <c r="Z76" s="109" t="s">
        <v>1185</v>
      </c>
      <c r="AA76" s="89" t="s">
        <v>1172</v>
      </c>
    </row>
    <row r="77" spans="1:36">
      <c r="A77" s="87" t="s">
        <v>227</v>
      </c>
      <c r="C77" s="50" t="s">
        <v>1427</v>
      </c>
      <c r="D77" s="88" t="s">
        <v>1427</v>
      </c>
      <c r="E77" s="134" t="s">
        <v>63</v>
      </c>
      <c r="F77" s="90" t="s">
        <v>1428</v>
      </c>
      <c r="G77" s="90" t="s">
        <v>1337</v>
      </c>
      <c r="H77">
        <v>50</v>
      </c>
      <c r="I77" s="89" t="s">
        <v>1197</v>
      </c>
      <c r="J77" s="89" t="s">
        <v>1170</v>
      </c>
      <c r="K77" s="89" t="s">
        <v>1184</v>
      </c>
      <c r="L77" s="89" t="s">
        <v>1172</v>
      </c>
      <c r="M77" s="89" t="s">
        <v>1173</v>
      </c>
      <c r="N77" s="89" t="s">
        <v>1172</v>
      </c>
      <c r="O77" s="89" t="s">
        <v>1173</v>
      </c>
      <c r="P77" s="109" t="s">
        <v>1174</v>
      </c>
      <c r="Q77" s="89" t="s">
        <v>1175</v>
      </c>
      <c r="R77" s="89" t="s">
        <v>578</v>
      </c>
      <c r="S77" s="89" t="s">
        <v>1173</v>
      </c>
      <c r="T77" s="89" t="s">
        <v>1177</v>
      </c>
      <c r="U77" s="89" t="s">
        <v>1173</v>
      </c>
      <c r="V77" s="89" t="s">
        <v>1173</v>
      </c>
      <c r="W77" s="89" t="s">
        <v>1174</v>
      </c>
      <c r="X77" s="89" t="s">
        <v>1172</v>
      </c>
      <c r="Y77" s="89" t="s">
        <v>1173</v>
      </c>
      <c r="Z77" s="109" t="s">
        <v>1178</v>
      </c>
      <c r="AA77" s="89" t="s">
        <v>1172</v>
      </c>
    </row>
    <row r="78" spans="1:36">
      <c r="A78" s="87" t="s">
        <v>235</v>
      </c>
      <c r="C78" s="50" t="s">
        <v>1429</v>
      </c>
      <c r="D78" s="88" t="s">
        <v>1429</v>
      </c>
      <c r="E78" s="134" t="s">
        <v>63</v>
      </c>
      <c r="F78" s="90" t="s">
        <v>1344</v>
      </c>
      <c r="G78" s="90" t="s">
        <v>1430</v>
      </c>
      <c r="H78">
        <v>53</v>
      </c>
      <c r="I78" s="89" t="s">
        <v>1228</v>
      </c>
      <c r="J78" s="89" t="s">
        <v>1170</v>
      </c>
      <c r="K78" s="89" t="s">
        <v>1192</v>
      </c>
      <c r="L78" s="89" t="s">
        <v>1172</v>
      </c>
      <c r="M78" s="89" t="s">
        <v>1173</v>
      </c>
      <c r="N78" s="89" t="s">
        <v>1172</v>
      </c>
      <c r="O78" s="89" t="s">
        <v>1173</v>
      </c>
      <c r="P78" s="109" t="s">
        <v>1177</v>
      </c>
      <c r="Q78" s="89" t="s">
        <v>1175</v>
      </c>
      <c r="R78" s="89" t="s">
        <v>578</v>
      </c>
      <c r="S78" s="89" t="s">
        <v>1431</v>
      </c>
      <c r="T78" s="89" t="s">
        <v>1177</v>
      </c>
      <c r="U78" s="89" t="s">
        <v>1173</v>
      </c>
      <c r="V78" s="89" t="s">
        <v>1173</v>
      </c>
      <c r="W78" s="89" t="s">
        <v>1177</v>
      </c>
      <c r="X78" s="89" t="s">
        <v>1172</v>
      </c>
      <c r="Y78" s="89" t="s">
        <v>1173</v>
      </c>
      <c r="Z78" s="109" t="s">
        <v>1178</v>
      </c>
      <c r="AA78" s="89" t="s">
        <v>1172</v>
      </c>
    </row>
    <row r="79" spans="1:36">
      <c r="A79" s="87" t="s">
        <v>241</v>
      </c>
      <c r="C79" s="50" t="s">
        <v>1432</v>
      </c>
      <c r="D79" s="88" t="s">
        <v>1432</v>
      </c>
      <c r="E79" s="134" t="s">
        <v>85</v>
      </c>
      <c r="F79" s="90" t="s">
        <v>1433</v>
      </c>
      <c r="G79" s="90" t="s">
        <v>1415</v>
      </c>
      <c r="H79">
        <v>48</v>
      </c>
      <c r="I79" s="89" t="s">
        <v>1228</v>
      </c>
      <c r="J79" s="89" t="s">
        <v>1170</v>
      </c>
      <c r="K79" s="89" t="s">
        <v>1184</v>
      </c>
      <c r="L79" s="89" t="s">
        <v>1172</v>
      </c>
      <c r="M79" s="89" t="s">
        <v>1173</v>
      </c>
      <c r="N79" s="89" t="s">
        <v>1172</v>
      </c>
      <c r="O79" s="89" t="s">
        <v>1173</v>
      </c>
      <c r="P79" s="109" t="s">
        <v>1174</v>
      </c>
      <c r="Q79" s="89" t="s">
        <v>1175</v>
      </c>
      <c r="R79" s="89" t="s">
        <v>578</v>
      </c>
      <c r="S79" s="89" t="s">
        <v>1176</v>
      </c>
      <c r="T79" s="89" t="s">
        <v>1177</v>
      </c>
      <c r="U79" s="89" t="s">
        <v>1173</v>
      </c>
      <c r="V79" s="89" t="s">
        <v>1173</v>
      </c>
      <c r="W79" s="89" t="s">
        <v>1174</v>
      </c>
      <c r="X79" s="89" t="s">
        <v>1172</v>
      </c>
      <c r="Y79" s="89" t="s">
        <v>1173</v>
      </c>
      <c r="Z79" s="109" t="s">
        <v>1185</v>
      </c>
      <c r="AA79" s="89" t="s">
        <v>1172</v>
      </c>
    </row>
    <row r="80" spans="1:36">
      <c r="A80" s="87" t="s">
        <v>263</v>
      </c>
      <c r="C80" s="50" t="s">
        <v>1434</v>
      </c>
      <c r="D80" s="88" t="s">
        <v>1435</v>
      </c>
      <c r="E80" s="134" t="s">
        <v>85</v>
      </c>
      <c r="F80" s="90" t="s">
        <v>1195</v>
      </c>
      <c r="G80" s="90" t="s">
        <v>1436</v>
      </c>
      <c r="H80">
        <v>53</v>
      </c>
      <c r="I80" s="89" t="s">
        <v>1197</v>
      </c>
      <c r="J80" s="89" t="s">
        <v>1170</v>
      </c>
      <c r="K80" s="89" t="s">
        <v>1437</v>
      </c>
      <c r="L80" s="89" t="s">
        <v>1172</v>
      </c>
      <c r="M80" s="89" t="s">
        <v>1173</v>
      </c>
      <c r="N80" s="89" t="s">
        <v>1172</v>
      </c>
      <c r="O80" s="89" t="s">
        <v>1173</v>
      </c>
      <c r="P80" s="109" t="s">
        <v>1199</v>
      </c>
      <c r="Q80" s="89" t="s">
        <v>1175</v>
      </c>
      <c r="R80" s="89" t="s">
        <v>578</v>
      </c>
      <c r="S80" s="89" t="s">
        <v>1177</v>
      </c>
      <c r="T80" s="89" t="s">
        <v>1177</v>
      </c>
      <c r="U80" s="89" t="s">
        <v>1173</v>
      </c>
      <c r="V80" s="89" t="s">
        <v>1173</v>
      </c>
      <c r="W80" s="89" t="s">
        <v>1174</v>
      </c>
      <c r="X80" s="89" t="s">
        <v>1172</v>
      </c>
      <c r="Y80" s="89" t="s">
        <v>1173</v>
      </c>
      <c r="Z80" s="109" t="s">
        <v>1201</v>
      </c>
      <c r="AA80" s="89" t="s">
        <v>1172</v>
      </c>
    </row>
    <row r="81" spans="1:27">
      <c r="A81" s="87" t="s">
        <v>275</v>
      </c>
      <c r="C81" s="50" t="s">
        <v>1438</v>
      </c>
      <c r="D81" s="88" t="s">
        <v>1438</v>
      </c>
      <c r="E81" s="134" t="s">
        <v>63</v>
      </c>
      <c r="F81" s="90" t="s">
        <v>1344</v>
      </c>
      <c r="G81" s="90" t="s">
        <v>1439</v>
      </c>
      <c r="H81">
        <v>39</v>
      </c>
      <c r="I81" s="89" t="s">
        <v>1197</v>
      </c>
      <c r="J81" s="89" t="s">
        <v>1170</v>
      </c>
      <c r="K81" s="89" t="s">
        <v>1184</v>
      </c>
      <c r="L81" s="89" t="s">
        <v>1172</v>
      </c>
      <c r="M81" s="89" t="s">
        <v>1173</v>
      </c>
      <c r="N81" s="89" t="s">
        <v>1172</v>
      </c>
      <c r="O81" s="89" t="s">
        <v>1173</v>
      </c>
      <c r="P81" s="109" t="s">
        <v>1174</v>
      </c>
      <c r="Q81" s="89" t="s">
        <v>1175</v>
      </c>
      <c r="R81" s="89" t="s">
        <v>1172</v>
      </c>
      <c r="S81" s="89" t="s">
        <v>1173</v>
      </c>
      <c r="T81" s="89" t="s">
        <v>1173</v>
      </c>
      <c r="U81" s="89" t="s">
        <v>1173</v>
      </c>
      <c r="V81" s="89" t="s">
        <v>1173</v>
      </c>
      <c r="W81" s="89" t="s">
        <v>1174</v>
      </c>
      <c r="X81" s="89" t="s">
        <v>578</v>
      </c>
      <c r="Y81" s="89" t="s">
        <v>1440</v>
      </c>
      <c r="Z81" s="109" t="s">
        <v>1178</v>
      </c>
      <c r="AA81" s="89" t="s">
        <v>578</v>
      </c>
    </row>
    <row r="82" spans="1:27">
      <c r="A82" s="87" t="s">
        <v>283</v>
      </c>
      <c r="C82" s="50" t="s">
        <v>1441</v>
      </c>
      <c r="D82" s="88" t="s">
        <v>1441</v>
      </c>
      <c r="E82" s="134" t="s">
        <v>63</v>
      </c>
      <c r="F82" s="90" t="s">
        <v>1330</v>
      </c>
      <c r="G82" s="90" t="s">
        <v>1442</v>
      </c>
      <c r="H82">
        <v>44</v>
      </c>
      <c r="I82" s="89" t="s">
        <v>1197</v>
      </c>
      <c r="J82" s="89" t="s">
        <v>1170</v>
      </c>
      <c r="K82" s="89" t="s">
        <v>1443</v>
      </c>
      <c r="L82" s="89" t="s">
        <v>1172</v>
      </c>
      <c r="M82" s="89" t="s">
        <v>1173</v>
      </c>
      <c r="N82" s="89" t="s">
        <v>1172</v>
      </c>
      <c r="O82" s="89" t="s">
        <v>1173</v>
      </c>
      <c r="P82" s="109" t="s">
        <v>1174</v>
      </c>
      <c r="Q82" s="89" t="s">
        <v>1175</v>
      </c>
      <c r="R82" s="89" t="s">
        <v>1172</v>
      </c>
      <c r="S82" s="89" t="s">
        <v>1173</v>
      </c>
      <c r="T82" s="89" t="s">
        <v>1173</v>
      </c>
      <c r="U82" s="89" t="s">
        <v>1173</v>
      </c>
      <c r="V82" s="89" t="s">
        <v>1173</v>
      </c>
      <c r="W82" s="89" t="s">
        <v>1174</v>
      </c>
      <c r="X82" s="89" t="s">
        <v>1172</v>
      </c>
      <c r="Y82" s="89" t="s">
        <v>1173</v>
      </c>
      <c r="Z82" s="109" t="s">
        <v>1178</v>
      </c>
      <c r="AA82" s="89" t="s">
        <v>1172</v>
      </c>
    </row>
    <row r="83" spans="1:27">
      <c r="A83" s="87" t="s">
        <v>286</v>
      </c>
      <c r="C83" s="50" t="s">
        <v>1444</v>
      </c>
      <c r="D83" s="88" t="s">
        <v>1445</v>
      </c>
      <c r="E83" s="134" t="s">
        <v>85</v>
      </c>
      <c r="F83" s="90" t="s">
        <v>1446</v>
      </c>
      <c r="G83" s="90" t="s">
        <v>1447</v>
      </c>
      <c r="H83">
        <v>47</v>
      </c>
      <c r="I83" s="89" t="s">
        <v>1228</v>
      </c>
      <c r="J83" s="89" t="s">
        <v>1170</v>
      </c>
      <c r="K83" s="89" t="s">
        <v>1261</v>
      </c>
      <c r="L83" s="89" t="s">
        <v>1172</v>
      </c>
      <c r="M83" s="89" t="s">
        <v>1173</v>
      </c>
      <c r="N83" s="89" t="s">
        <v>1172</v>
      </c>
      <c r="O83" s="89" t="s">
        <v>1173</v>
      </c>
      <c r="P83" s="109" t="s">
        <v>1174</v>
      </c>
      <c r="Q83" s="89" t="s">
        <v>1175</v>
      </c>
      <c r="R83" s="89" t="s">
        <v>1172</v>
      </c>
      <c r="S83" s="89" t="s">
        <v>1173</v>
      </c>
      <c r="T83" s="89" t="s">
        <v>1173</v>
      </c>
      <c r="U83" s="89" t="s">
        <v>1173</v>
      </c>
      <c r="V83" s="89" t="s">
        <v>1173</v>
      </c>
      <c r="W83" s="89" t="s">
        <v>1199</v>
      </c>
      <c r="X83" s="89" t="s">
        <v>1172</v>
      </c>
      <c r="Y83" s="89" t="s">
        <v>1173</v>
      </c>
      <c r="Z83" s="109" t="s">
        <v>1178</v>
      </c>
      <c r="AA83" s="89" t="s">
        <v>1172</v>
      </c>
    </row>
    <row r="84" spans="1:27">
      <c r="A84" s="45" t="s">
        <v>301</v>
      </c>
      <c r="B84" s="120"/>
      <c r="C84" s="50" t="s">
        <v>1448</v>
      </c>
      <c r="D84" s="44" t="s">
        <v>1448</v>
      </c>
      <c r="E84" s="133" t="s">
        <v>85</v>
      </c>
      <c r="F84" s="41">
        <v>166</v>
      </c>
      <c r="G84" s="41">
        <v>78</v>
      </c>
      <c r="H84" s="39">
        <v>42</v>
      </c>
      <c r="I84" s="39" t="s">
        <v>1197</v>
      </c>
      <c r="J84" s="39" t="s">
        <v>1170</v>
      </c>
      <c r="K84" s="39" t="s">
        <v>1449</v>
      </c>
      <c r="L84" s="39" t="s">
        <v>1172</v>
      </c>
      <c r="M84" s="91"/>
      <c r="N84" s="39" t="s">
        <v>1172</v>
      </c>
      <c r="O84" s="91"/>
      <c r="P84" s="110" t="s">
        <v>1174</v>
      </c>
      <c r="Q84" s="39" t="s">
        <v>1175</v>
      </c>
      <c r="R84" s="39" t="s">
        <v>578</v>
      </c>
      <c r="S84" s="39">
        <v>0</v>
      </c>
      <c r="T84" s="39">
        <v>0</v>
      </c>
      <c r="U84" s="91"/>
      <c r="V84" s="91"/>
      <c r="W84" s="39" t="s">
        <v>1174</v>
      </c>
      <c r="X84" s="39" t="s">
        <v>578</v>
      </c>
      <c r="Y84" s="39" t="s">
        <v>1450</v>
      </c>
      <c r="Z84" s="110" t="s">
        <v>1207</v>
      </c>
      <c r="AA84" s="39" t="s">
        <v>578</v>
      </c>
    </row>
    <row r="85" spans="1:27">
      <c r="A85" s="45" t="s">
        <v>327</v>
      </c>
      <c r="B85" s="120"/>
      <c r="C85" s="50" t="s">
        <v>1451</v>
      </c>
      <c r="D85" s="44" t="s">
        <v>1452</v>
      </c>
      <c r="E85" s="133" t="s">
        <v>85</v>
      </c>
      <c r="F85" s="41">
        <v>165</v>
      </c>
      <c r="G85" s="41">
        <v>58.8</v>
      </c>
      <c r="H85" s="39">
        <v>52</v>
      </c>
      <c r="I85" s="39" t="s">
        <v>1215</v>
      </c>
      <c r="J85" s="39" t="s">
        <v>1170</v>
      </c>
      <c r="K85" s="39" t="s">
        <v>1192</v>
      </c>
      <c r="L85" s="39" t="s">
        <v>1172</v>
      </c>
      <c r="M85" s="91"/>
      <c r="N85" s="39" t="s">
        <v>1172</v>
      </c>
      <c r="O85" s="91"/>
      <c r="P85" s="110" t="s">
        <v>1174</v>
      </c>
      <c r="Q85" s="39" t="s">
        <v>1175</v>
      </c>
      <c r="R85" s="39" t="s">
        <v>1172</v>
      </c>
      <c r="S85" s="91"/>
      <c r="T85" s="91"/>
      <c r="U85" s="91"/>
      <c r="V85" s="91"/>
      <c r="W85" s="39" t="s">
        <v>1174</v>
      </c>
      <c r="X85" s="39" t="s">
        <v>1172</v>
      </c>
      <c r="Y85" s="91"/>
      <c r="Z85" s="110" t="s">
        <v>1185</v>
      </c>
      <c r="AA85" s="39" t="s">
        <v>1172</v>
      </c>
    </row>
    <row r="86" spans="1:27">
      <c r="A86" s="45" t="s">
        <v>333</v>
      </c>
      <c r="B86" s="120"/>
      <c r="C86" s="50" t="s">
        <v>1453</v>
      </c>
      <c r="D86" s="44" t="s">
        <v>1453</v>
      </c>
      <c r="E86" s="133" t="s">
        <v>85</v>
      </c>
      <c r="F86" s="41">
        <v>160</v>
      </c>
      <c r="G86" s="41">
        <v>49</v>
      </c>
      <c r="H86" s="39">
        <v>54</v>
      </c>
      <c r="I86" s="39" t="s">
        <v>1197</v>
      </c>
      <c r="J86" s="39" t="s">
        <v>1170</v>
      </c>
      <c r="K86" s="39" t="s">
        <v>1454</v>
      </c>
      <c r="L86" s="39" t="s">
        <v>1172</v>
      </c>
      <c r="M86" s="91"/>
      <c r="N86" s="39" t="s">
        <v>1172</v>
      </c>
      <c r="O86" s="91"/>
      <c r="P86" s="110" t="s">
        <v>1199</v>
      </c>
      <c r="Q86" s="39" t="s">
        <v>1175</v>
      </c>
      <c r="R86" s="39" t="s">
        <v>1172</v>
      </c>
      <c r="S86" s="91"/>
      <c r="T86" s="91"/>
      <c r="U86" s="91"/>
      <c r="V86" s="91"/>
      <c r="W86" s="39" t="s">
        <v>1174</v>
      </c>
      <c r="X86" s="39" t="s">
        <v>578</v>
      </c>
      <c r="Y86" s="39" t="s">
        <v>1455</v>
      </c>
      <c r="Z86" s="110" t="s">
        <v>1201</v>
      </c>
      <c r="AA86" s="39" t="s">
        <v>578</v>
      </c>
    </row>
    <row r="87" spans="1:27">
      <c r="A87" s="45" t="s">
        <v>342</v>
      </c>
      <c r="B87" s="120"/>
      <c r="C87" s="50" t="s">
        <v>1456</v>
      </c>
      <c r="D87" s="44" t="s">
        <v>1456</v>
      </c>
      <c r="E87" s="133" t="s">
        <v>63</v>
      </c>
      <c r="F87" s="41">
        <v>178</v>
      </c>
      <c r="G87" s="41">
        <v>75</v>
      </c>
      <c r="H87" s="39">
        <v>41</v>
      </c>
      <c r="I87" s="39" t="s">
        <v>1197</v>
      </c>
      <c r="J87" s="39" t="s">
        <v>1170</v>
      </c>
      <c r="K87" s="39" t="s">
        <v>1216</v>
      </c>
      <c r="L87" s="39" t="s">
        <v>1172</v>
      </c>
      <c r="M87" s="91"/>
      <c r="N87" s="39" t="s">
        <v>1172</v>
      </c>
      <c r="O87" s="91"/>
      <c r="P87" s="110" t="s">
        <v>1174</v>
      </c>
      <c r="Q87" s="39" t="s">
        <v>1175</v>
      </c>
      <c r="R87" s="39" t="s">
        <v>1172</v>
      </c>
      <c r="S87" s="91"/>
      <c r="T87" s="91"/>
      <c r="U87" s="91"/>
      <c r="V87" s="91"/>
      <c r="W87" s="39" t="s">
        <v>1174</v>
      </c>
      <c r="X87" s="39" t="s">
        <v>1172</v>
      </c>
      <c r="Y87" s="91"/>
      <c r="Z87" s="110" t="s">
        <v>1185</v>
      </c>
      <c r="AA87" s="39" t="s">
        <v>1172</v>
      </c>
    </row>
    <row r="88" spans="1:27">
      <c r="A88" s="45" t="s">
        <v>347</v>
      </c>
      <c r="B88" s="120"/>
      <c r="C88" s="50" t="s">
        <v>1457</v>
      </c>
      <c r="D88" s="43" t="s">
        <v>1457</v>
      </c>
      <c r="E88" s="133" t="s">
        <v>85</v>
      </c>
      <c r="F88" s="41">
        <v>159</v>
      </c>
      <c r="G88" s="41">
        <v>56</v>
      </c>
      <c r="H88" s="39">
        <v>49</v>
      </c>
      <c r="I88" s="39" t="s">
        <v>1215</v>
      </c>
      <c r="J88" s="39" t="s">
        <v>1170</v>
      </c>
      <c r="K88" s="39" t="s">
        <v>1248</v>
      </c>
      <c r="L88" s="39" t="s">
        <v>1172</v>
      </c>
      <c r="M88" s="91"/>
      <c r="N88" s="39" t="s">
        <v>1172</v>
      </c>
      <c r="O88" s="91"/>
      <c r="P88" s="110" t="s">
        <v>1199</v>
      </c>
      <c r="Q88" s="39" t="s">
        <v>1175</v>
      </c>
      <c r="R88" s="39" t="s">
        <v>1172</v>
      </c>
      <c r="S88" s="91"/>
      <c r="T88" s="91"/>
      <c r="U88" s="91"/>
      <c r="V88" s="91"/>
      <c r="W88" s="39" t="s">
        <v>1174</v>
      </c>
      <c r="X88" s="39" t="s">
        <v>1172</v>
      </c>
      <c r="Y88" s="91"/>
      <c r="Z88" s="110" t="s">
        <v>1178</v>
      </c>
      <c r="AA88" s="39" t="s">
        <v>1172</v>
      </c>
    </row>
    <row r="89" spans="1:27">
      <c r="A89" s="45" t="s">
        <v>357</v>
      </c>
      <c r="B89" s="120"/>
      <c r="C89" s="50" t="s">
        <v>1458</v>
      </c>
      <c r="D89" s="44" t="s">
        <v>1459</v>
      </c>
      <c r="E89" s="133" t="s">
        <v>85</v>
      </c>
      <c r="F89" s="41">
        <v>150</v>
      </c>
      <c r="G89" s="41">
        <v>53</v>
      </c>
      <c r="H89" s="39">
        <v>53</v>
      </c>
      <c r="I89" s="39" t="s">
        <v>1197</v>
      </c>
      <c r="J89" s="39" t="s">
        <v>1170</v>
      </c>
      <c r="K89" s="39" t="s">
        <v>1460</v>
      </c>
      <c r="L89" s="39" t="s">
        <v>1172</v>
      </c>
      <c r="M89" s="91"/>
      <c r="N89" s="39" t="s">
        <v>1172</v>
      </c>
      <c r="O89" s="91"/>
      <c r="P89" s="110" t="s">
        <v>1199</v>
      </c>
      <c r="Q89" s="39" t="s">
        <v>1175</v>
      </c>
      <c r="R89" s="39" t="s">
        <v>1172</v>
      </c>
      <c r="S89" s="91"/>
      <c r="T89" s="91"/>
      <c r="U89" s="91"/>
      <c r="V89" s="91"/>
      <c r="W89" s="39" t="s">
        <v>1174</v>
      </c>
      <c r="X89" s="39" t="s">
        <v>1172</v>
      </c>
      <c r="Y89" s="91"/>
      <c r="Z89" s="110" t="s">
        <v>1201</v>
      </c>
      <c r="AA89" s="39" t="s">
        <v>1172</v>
      </c>
    </row>
    <row r="90" spans="1:27">
      <c r="A90" s="45" t="s">
        <v>362</v>
      </c>
      <c r="B90" s="120"/>
      <c r="C90" s="50" t="s">
        <v>1461</v>
      </c>
      <c r="D90" s="44" t="s">
        <v>1461</v>
      </c>
      <c r="E90" s="133" t="s">
        <v>85</v>
      </c>
      <c r="F90" s="41">
        <v>148</v>
      </c>
      <c r="G90" s="41">
        <v>49</v>
      </c>
      <c r="H90" s="39">
        <v>60</v>
      </c>
      <c r="I90" s="39" t="s">
        <v>1215</v>
      </c>
      <c r="J90" s="39" t="s">
        <v>1170</v>
      </c>
      <c r="K90" s="39" t="s">
        <v>1216</v>
      </c>
      <c r="L90" s="39" t="s">
        <v>1172</v>
      </c>
      <c r="M90" s="91"/>
      <c r="N90" s="39" t="s">
        <v>1172</v>
      </c>
      <c r="O90" s="91"/>
      <c r="P90" s="110" t="s">
        <v>1199</v>
      </c>
      <c r="Q90" s="39" t="s">
        <v>1175</v>
      </c>
      <c r="R90" s="39" t="s">
        <v>1172</v>
      </c>
      <c r="S90" s="91"/>
      <c r="T90" s="91"/>
      <c r="U90" s="91"/>
      <c r="V90" s="91"/>
      <c r="W90" s="39" t="s">
        <v>1174</v>
      </c>
      <c r="X90" s="39" t="s">
        <v>1172</v>
      </c>
      <c r="Y90" s="91"/>
      <c r="Z90" s="110" t="s">
        <v>1201</v>
      </c>
      <c r="AA90" s="39" t="s">
        <v>1172</v>
      </c>
    </row>
    <row r="91" spans="1:27">
      <c r="A91" s="45" t="s">
        <v>377</v>
      </c>
      <c r="B91" s="120"/>
      <c r="C91" s="50" t="s">
        <v>1462</v>
      </c>
      <c r="D91" s="44" t="s">
        <v>1462</v>
      </c>
      <c r="E91" s="133" t="s">
        <v>63</v>
      </c>
      <c r="F91" s="41">
        <v>173</v>
      </c>
      <c r="G91" s="41">
        <v>72</v>
      </c>
      <c r="H91" s="39">
        <v>52</v>
      </c>
      <c r="I91" s="39" t="s">
        <v>1197</v>
      </c>
      <c r="J91" s="39" t="s">
        <v>1170</v>
      </c>
      <c r="K91" s="39" t="s">
        <v>1192</v>
      </c>
      <c r="L91" s="39" t="s">
        <v>1172</v>
      </c>
      <c r="M91" s="91"/>
      <c r="N91" s="39" t="s">
        <v>1172</v>
      </c>
      <c r="O91" s="91"/>
      <c r="P91" s="110" t="s">
        <v>1174</v>
      </c>
      <c r="Q91" s="39" t="s">
        <v>1175</v>
      </c>
      <c r="R91" s="39" t="s">
        <v>578</v>
      </c>
      <c r="S91" s="39">
        <v>2</v>
      </c>
      <c r="T91" s="39">
        <v>0</v>
      </c>
      <c r="U91" s="91"/>
      <c r="V91" s="91"/>
      <c r="W91" s="39" t="s">
        <v>1174</v>
      </c>
      <c r="X91" s="39" t="s">
        <v>1172</v>
      </c>
      <c r="Y91" s="91"/>
      <c r="Z91" s="110" t="s">
        <v>1201</v>
      </c>
      <c r="AA91" s="39" t="s">
        <v>1172</v>
      </c>
    </row>
    <row r="92" spans="1:27">
      <c r="A92" s="45" t="s">
        <v>390</v>
      </c>
      <c r="B92" s="120"/>
      <c r="C92" s="50" t="s">
        <v>1463</v>
      </c>
      <c r="D92" s="44" t="s">
        <v>1463</v>
      </c>
      <c r="E92" s="133" t="s">
        <v>85</v>
      </c>
      <c r="F92" s="41">
        <v>158</v>
      </c>
      <c r="G92" s="41">
        <v>56</v>
      </c>
      <c r="H92" s="39">
        <v>49</v>
      </c>
      <c r="I92" s="39" t="s">
        <v>1197</v>
      </c>
      <c r="J92" s="39" t="s">
        <v>1170</v>
      </c>
      <c r="K92" s="39" t="s">
        <v>1302</v>
      </c>
      <c r="L92" s="39" t="s">
        <v>1172</v>
      </c>
      <c r="M92" s="91"/>
      <c r="N92" s="39" t="s">
        <v>1172</v>
      </c>
      <c r="O92" s="91"/>
      <c r="P92" s="110" t="s">
        <v>1174</v>
      </c>
      <c r="Q92" s="39" t="s">
        <v>1175</v>
      </c>
      <c r="R92" s="39" t="s">
        <v>1172</v>
      </c>
      <c r="S92" s="91"/>
      <c r="T92" s="91"/>
      <c r="U92" s="91"/>
      <c r="V92" s="91"/>
      <c r="W92" s="39" t="s">
        <v>1174</v>
      </c>
      <c r="X92" s="39" t="s">
        <v>578</v>
      </c>
      <c r="Y92" s="39" t="s">
        <v>1464</v>
      </c>
      <c r="Z92" s="110" t="s">
        <v>1201</v>
      </c>
      <c r="AA92" s="39" t="s">
        <v>578</v>
      </c>
    </row>
    <row r="93" spans="1:27">
      <c r="A93" s="45" t="s">
        <v>395</v>
      </c>
      <c r="B93" s="120"/>
      <c r="C93" s="50" t="s">
        <v>1465</v>
      </c>
      <c r="D93" s="44" t="s">
        <v>1465</v>
      </c>
      <c r="E93" s="133" t="s">
        <v>85</v>
      </c>
      <c r="F93" s="41">
        <v>160</v>
      </c>
      <c r="G93" s="41">
        <v>72</v>
      </c>
      <c r="H93" s="39">
        <v>49</v>
      </c>
      <c r="I93" s="39" t="s">
        <v>1197</v>
      </c>
      <c r="J93" s="39" t="s">
        <v>1233</v>
      </c>
      <c r="K93" s="39" t="s">
        <v>1237</v>
      </c>
      <c r="L93" s="39" t="s">
        <v>578</v>
      </c>
      <c r="M93" s="39" t="s">
        <v>1466</v>
      </c>
      <c r="N93" s="39" t="s">
        <v>1172</v>
      </c>
      <c r="O93" s="91"/>
      <c r="P93" s="110" t="s">
        <v>1174</v>
      </c>
      <c r="Q93" s="39" t="s">
        <v>1175</v>
      </c>
      <c r="R93" s="39" t="s">
        <v>1172</v>
      </c>
      <c r="S93" s="91"/>
      <c r="T93" s="91"/>
      <c r="U93" s="91"/>
      <c r="V93" s="91"/>
      <c r="W93" s="39">
        <v>0</v>
      </c>
      <c r="X93" s="39" t="s">
        <v>1172</v>
      </c>
      <c r="Y93" s="91"/>
      <c r="Z93" s="110" t="s">
        <v>1185</v>
      </c>
      <c r="AA93" s="39" t="s">
        <v>578</v>
      </c>
    </row>
    <row r="94" spans="1:27">
      <c r="A94" s="45" t="s">
        <v>400</v>
      </c>
      <c r="B94" s="120"/>
      <c r="C94" s="50" t="s">
        <v>1467</v>
      </c>
      <c r="D94" s="44" t="s">
        <v>1467</v>
      </c>
      <c r="E94" s="133" t="s">
        <v>85</v>
      </c>
      <c r="F94" s="41">
        <v>156</v>
      </c>
      <c r="G94" s="41">
        <v>61</v>
      </c>
      <c r="H94" s="39">
        <v>66</v>
      </c>
      <c r="I94" s="39" t="s">
        <v>1215</v>
      </c>
      <c r="J94" s="39" t="s">
        <v>1170</v>
      </c>
      <c r="K94" s="39" t="s">
        <v>1468</v>
      </c>
      <c r="L94" s="39" t="s">
        <v>1172</v>
      </c>
      <c r="M94" s="91"/>
      <c r="N94" s="39" t="s">
        <v>1172</v>
      </c>
      <c r="O94" s="91"/>
      <c r="P94" s="110" t="s">
        <v>1174</v>
      </c>
      <c r="Q94" s="39" t="s">
        <v>1238</v>
      </c>
      <c r="R94" s="39" t="s">
        <v>578</v>
      </c>
      <c r="S94" s="91"/>
      <c r="T94" s="39">
        <v>0</v>
      </c>
      <c r="U94" s="91"/>
      <c r="V94" s="91"/>
      <c r="W94" s="39">
        <v>0</v>
      </c>
      <c r="X94" s="39" t="s">
        <v>578</v>
      </c>
      <c r="Y94" s="39" t="s">
        <v>1469</v>
      </c>
      <c r="Z94" s="110" t="s">
        <v>1185</v>
      </c>
      <c r="AA94" s="39" t="s">
        <v>1172</v>
      </c>
    </row>
    <row r="95" spans="1:27">
      <c r="A95" s="45" t="s">
        <v>404</v>
      </c>
      <c r="B95" s="120"/>
      <c r="C95" s="50" t="s">
        <v>1470</v>
      </c>
      <c r="D95" s="44" t="s">
        <v>1470</v>
      </c>
      <c r="E95" s="133" t="s">
        <v>63</v>
      </c>
      <c r="F95" s="41">
        <v>168</v>
      </c>
      <c r="G95" s="41">
        <v>80</v>
      </c>
      <c r="H95" s="39">
        <v>61</v>
      </c>
      <c r="I95" s="39" t="s">
        <v>1471</v>
      </c>
      <c r="J95" s="39" t="s">
        <v>1170</v>
      </c>
      <c r="K95" s="39" t="s">
        <v>1302</v>
      </c>
      <c r="L95" s="39" t="s">
        <v>1172</v>
      </c>
      <c r="M95" s="91"/>
      <c r="N95" s="39" t="s">
        <v>1172</v>
      </c>
      <c r="O95" s="91"/>
      <c r="P95" s="110">
        <v>0</v>
      </c>
      <c r="Q95" s="39" t="s">
        <v>1175</v>
      </c>
      <c r="R95" s="39" t="s">
        <v>1172</v>
      </c>
      <c r="S95" s="91"/>
      <c r="T95" s="91"/>
      <c r="U95" s="91"/>
      <c r="V95" s="91"/>
      <c r="W95" s="39">
        <v>0</v>
      </c>
      <c r="X95" s="39" t="s">
        <v>1172</v>
      </c>
      <c r="Y95" s="91"/>
      <c r="Z95" s="110" t="s">
        <v>1185</v>
      </c>
      <c r="AA95" s="39" t="s">
        <v>578</v>
      </c>
    </row>
    <row r="96" spans="1:27">
      <c r="A96" s="45" t="s">
        <v>407</v>
      </c>
      <c r="B96" s="120"/>
      <c r="C96" s="50" t="s">
        <v>1472</v>
      </c>
      <c r="D96" s="44" t="s">
        <v>1472</v>
      </c>
      <c r="E96" s="133" t="s">
        <v>85</v>
      </c>
      <c r="F96" s="41" t="s">
        <v>1473</v>
      </c>
      <c r="G96" s="41" t="s">
        <v>1474</v>
      </c>
      <c r="H96" s="39">
        <v>53</v>
      </c>
      <c r="I96" s="39" t="s">
        <v>1197</v>
      </c>
      <c r="J96" s="39" t="s">
        <v>1170</v>
      </c>
      <c r="K96" s="39" t="s">
        <v>1192</v>
      </c>
      <c r="L96" s="39" t="s">
        <v>1172</v>
      </c>
      <c r="M96" s="91"/>
      <c r="N96" s="39" t="s">
        <v>1172</v>
      </c>
      <c r="O96" s="91"/>
      <c r="P96" s="110" t="s">
        <v>1199</v>
      </c>
      <c r="Q96" s="39" t="s">
        <v>1175</v>
      </c>
      <c r="R96" s="39" t="s">
        <v>1172</v>
      </c>
      <c r="S96" s="91"/>
      <c r="T96" s="91"/>
      <c r="U96" s="91"/>
      <c r="V96" s="91"/>
      <c r="W96" s="39" t="s">
        <v>1174</v>
      </c>
      <c r="X96" s="39" t="s">
        <v>578</v>
      </c>
      <c r="Y96" s="39" t="s">
        <v>1475</v>
      </c>
      <c r="Z96" s="110" t="s">
        <v>1201</v>
      </c>
      <c r="AA96" s="39" t="s">
        <v>578</v>
      </c>
    </row>
    <row r="97" spans="1:27">
      <c r="A97" s="45" t="s">
        <v>413</v>
      </c>
      <c r="B97" s="120"/>
      <c r="C97" s="50" t="s">
        <v>1476</v>
      </c>
      <c r="D97" s="44" t="s">
        <v>1477</v>
      </c>
      <c r="E97" s="133" t="s">
        <v>63</v>
      </c>
      <c r="F97" s="41">
        <v>183</v>
      </c>
      <c r="G97" s="41">
        <v>78</v>
      </c>
      <c r="H97" s="39">
        <v>54</v>
      </c>
      <c r="I97" s="39" t="s">
        <v>1197</v>
      </c>
      <c r="J97" s="39" t="s">
        <v>1170</v>
      </c>
      <c r="K97" s="39" t="s">
        <v>1302</v>
      </c>
      <c r="L97" s="39" t="s">
        <v>1172</v>
      </c>
      <c r="M97" s="91"/>
      <c r="N97" s="39" t="s">
        <v>1172</v>
      </c>
      <c r="O97" s="91"/>
      <c r="P97" s="110" t="s">
        <v>1174</v>
      </c>
      <c r="Q97" s="39" t="s">
        <v>1175</v>
      </c>
      <c r="R97" s="39" t="s">
        <v>1172</v>
      </c>
      <c r="S97" s="91"/>
      <c r="T97" s="91"/>
      <c r="U97" s="91"/>
      <c r="V97" s="91"/>
      <c r="W97" s="39" t="s">
        <v>1174</v>
      </c>
      <c r="X97" s="39" t="s">
        <v>578</v>
      </c>
      <c r="Y97" s="39" t="s">
        <v>1478</v>
      </c>
      <c r="Z97" s="110" t="s">
        <v>1201</v>
      </c>
      <c r="AA97" s="39" t="s">
        <v>578</v>
      </c>
    </row>
    <row r="98" spans="1:27">
      <c r="A98" s="45" t="s">
        <v>438</v>
      </c>
      <c r="B98" s="120"/>
      <c r="C98" s="50" t="s">
        <v>1479</v>
      </c>
      <c r="D98" s="44" t="s">
        <v>1479</v>
      </c>
      <c r="E98" s="133" t="s">
        <v>63</v>
      </c>
      <c r="F98" s="41">
        <v>1.75</v>
      </c>
      <c r="G98" s="41">
        <v>80</v>
      </c>
      <c r="H98" s="39">
        <v>55</v>
      </c>
      <c r="I98" s="39" t="s">
        <v>1215</v>
      </c>
      <c r="J98" s="39" t="s">
        <v>1170</v>
      </c>
      <c r="K98" s="39" t="s">
        <v>1216</v>
      </c>
      <c r="L98" s="39" t="s">
        <v>1172</v>
      </c>
      <c r="M98" s="91"/>
      <c r="N98" s="39" t="s">
        <v>1172</v>
      </c>
      <c r="O98" s="91"/>
      <c r="P98" s="110">
        <v>0</v>
      </c>
      <c r="Q98" s="39" t="s">
        <v>1238</v>
      </c>
      <c r="R98" s="39" t="s">
        <v>1172</v>
      </c>
      <c r="S98" s="91"/>
      <c r="T98" s="91"/>
      <c r="U98" s="91"/>
      <c r="V98" s="91"/>
      <c r="W98" s="39" t="s">
        <v>1174</v>
      </c>
      <c r="X98" s="39" t="s">
        <v>1172</v>
      </c>
      <c r="Y98" s="91"/>
      <c r="Z98" s="110" t="s">
        <v>1201</v>
      </c>
      <c r="AA98" s="39" t="s">
        <v>578</v>
      </c>
    </row>
    <row r="99" spans="1:27">
      <c r="A99" s="45" t="s">
        <v>458</v>
      </c>
      <c r="B99" s="120"/>
      <c r="C99" s="50" t="s">
        <v>1480</v>
      </c>
      <c r="D99" s="44" t="s">
        <v>1480</v>
      </c>
      <c r="E99" s="133" t="s">
        <v>85</v>
      </c>
      <c r="F99" s="41">
        <v>159</v>
      </c>
      <c r="G99" s="41">
        <v>70</v>
      </c>
      <c r="H99" s="39">
        <v>69</v>
      </c>
      <c r="I99" s="39" t="s">
        <v>1481</v>
      </c>
      <c r="J99" s="39" t="s">
        <v>1170</v>
      </c>
      <c r="K99" s="39" t="s">
        <v>1192</v>
      </c>
      <c r="L99" s="39" t="s">
        <v>1172</v>
      </c>
      <c r="M99" s="91"/>
      <c r="N99" s="39" t="s">
        <v>1172</v>
      </c>
      <c r="O99" s="91"/>
      <c r="P99" s="110" t="s">
        <v>1174</v>
      </c>
      <c r="Q99" s="39" t="s">
        <v>1175</v>
      </c>
      <c r="R99" s="39" t="s">
        <v>1172</v>
      </c>
      <c r="S99" s="91"/>
      <c r="T99" s="91"/>
      <c r="U99" s="91"/>
      <c r="V99" s="91"/>
      <c r="W99" s="39" t="s">
        <v>1174</v>
      </c>
      <c r="X99" s="39" t="s">
        <v>1172</v>
      </c>
      <c r="Y99" s="91"/>
      <c r="Z99" s="110" t="s">
        <v>1185</v>
      </c>
      <c r="AA99" s="39" t="s">
        <v>1172</v>
      </c>
    </row>
    <row r="100" spans="1:27">
      <c r="A100" s="45" t="s">
        <v>462</v>
      </c>
      <c r="B100" s="120"/>
      <c r="C100" s="50" t="s">
        <v>1482</v>
      </c>
      <c r="D100" s="44" t="s">
        <v>1483</v>
      </c>
      <c r="E100" s="133" t="s">
        <v>85</v>
      </c>
      <c r="F100" s="41">
        <v>171</v>
      </c>
      <c r="G100" s="41">
        <v>75</v>
      </c>
      <c r="H100" s="39">
        <v>45</v>
      </c>
      <c r="I100" s="39" t="s">
        <v>1197</v>
      </c>
      <c r="J100" s="39" t="s">
        <v>1391</v>
      </c>
      <c r="K100" s="39" t="s">
        <v>1484</v>
      </c>
      <c r="L100" s="39" t="s">
        <v>1172</v>
      </c>
      <c r="M100" s="91"/>
      <c r="N100" s="39" t="s">
        <v>1172</v>
      </c>
      <c r="O100" s="91"/>
      <c r="P100" s="110" t="s">
        <v>1174</v>
      </c>
      <c r="Q100" s="39" t="s">
        <v>1175</v>
      </c>
      <c r="R100" s="39" t="s">
        <v>578</v>
      </c>
      <c r="S100" s="91"/>
      <c r="T100" s="39">
        <v>0</v>
      </c>
      <c r="U100" s="91"/>
      <c r="V100" s="91"/>
      <c r="W100" s="39">
        <v>0</v>
      </c>
      <c r="X100" s="39" t="s">
        <v>1172</v>
      </c>
      <c r="Y100" s="91"/>
      <c r="Z100" s="110" t="s">
        <v>1185</v>
      </c>
      <c r="AA100" s="39" t="s">
        <v>1172</v>
      </c>
    </row>
    <row r="101" spans="1:27">
      <c r="A101" s="45" t="s">
        <v>468</v>
      </c>
      <c r="B101" s="120"/>
      <c r="C101" s="50" t="s">
        <v>1485</v>
      </c>
      <c r="D101" s="44" t="s">
        <v>1485</v>
      </c>
      <c r="E101" s="133" t="s">
        <v>63</v>
      </c>
      <c r="F101" s="41">
        <v>180</v>
      </c>
      <c r="G101" s="41">
        <v>77</v>
      </c>
      <c r="H101" s="39">
        <v>54</v>
      </c>
      <c r="I101" s="39" t="s">
        <v>1197</v>
      </c>
      <c r="J101" s="39" t="s">
        <v>1170</v>
      </c>
      <c r="K101" s="39" t="s">
        <v>1486</v>
      </c>
      <c r="L101" s="39" t="s">
        <v>1172</v>
      </c>
      <c r="M101" s="91"/>
      <c r="N101" s="39" t="s">
        <v>1172</v>
      </c>
      <c r="O101" s="91"/>
      <c r="P101" s="110" t="s">
        <v>1199</v>
      </c>
      <c r="Q101" s="39" t="s">
        <v>1175</v>
      </c>
      <c r="R101" s="39" t="s">
        <v>578</v>
      </c>
      <c r="S101" s="39">
        <v>0</v>
      </c>
      <c r="T101" s="39">
        <v>0</v>
      </c>
      <c r="U101" s="91"/>
      <c r="V101" s="91"/>
      <c r="W101" s="39" t="s">
        <v>1174</v>
      </c>
      <c r="X101" s="39" t="s">
        <v>578</v>
      </c>
      <c r="Y101" s="39" t="s">
        <v>1487</v>
      </c>
      <c r="Z101" s="110" t="s">
        <v>1207</v>
      </c>
      <c r="AA101" s="39" t="s">
        <v>578</v>
      </c>
    </row>
    <row r="102" spans="1:27">
      <c r="A102" s="45" t="s">
        <v>478</v>
      </c>
      <c r="B102" s="120"/>
      <c r="C102" s="50" t="s">
        <v>1488</v>
      </c>
      <c r="D102" s="44" t="s">
        <v>1488</v>
      </c>
      <c r="E102" s="133" t="s">
        <v>85</v>
      </c>
      <c r="F102" s="41">
        <v>162</v>
      </c>
      <c r="G102" s="41">
        <v>65</v>
      </c>
      <c r="H102" s="39">
        <v>54</v>
      </c>
      <c r="I102" s="39" t="s">
        <v>1215</v>
      </c>
      <c r="J102" s="39" t="s">
        <v>1170</v>
      </c>
      <c r="K102" s="39" t="s">
        <v>1489</v>
      </c>
      <c r="L102" s="39" t="s">
        <v>1172</v>
      </c>
      <c r="M102" s="91"/>
      <c r="N102" s="39" t="s">
        <v>1172</v>
      </c>
      <c r="O102" s="91"/>
      <c r="P102" s="110" t="s">
        <v>1174</v>
      </c>
      <c r="Q102" s="39" t="s">
        <v>1175</v>
      </c>
      <c r="R102" s="39" t="s">
        <v>1172</v>
      </c>
      <c r="S102" s="91"/>
      <c r="T102" s="91"/>
      <c r="U102" s="91"/>
      <c r="V102" s="91"/>
      <c r="W102" s="39" t="s">
        <v>1174</v>
      </c>
      <c r="X102" s="39" t="s">
        <v>1172</v>
      </c>
      <c r="Y102" s="91"/>
      <c r="Z102" s="110" t="s">
        <v>1185</v>
      </c>
      <c r="AA102" s="39" t="s">
        <v>578</v>
      </c>
    </row>
    <row r="103" spans="1:27">
      <c r="A103" s="45" t="s">
        <v>501</v>
      </c>
      <c r="B103" s="120"/>
      <c r="C103" s="50" t="s">
        <v>1490</v>
      </c>
      <c r="D103" s="44" t="s">
        <v>1491</v>
      </c>
      <c r="E103" s="133" t="s">
        <v>63</v>
      </c>
      <c r="F103" s="41">
        <v>183</v>
      </c>
      <c r="G103" s="41">
        <v>80</v>
      </c>
      <c r="H103" s="39">
        <v>41</v>
      </c>
      <c r="I103" s="39" t="s">
        <v>1492</v>
      </c>
      <c r="J103" s="39" t="s">
        <v>1391</v>
      </c>
      <c r="K103" s="39" t="s">
        <v>1493</v>
      </c>
      <c r="L103" s="39" t="s">
        <v>1172</v>
      </c>
      <c r="M103" s="91"/>
      <c r="N103" s="39" t="s">
        <v>1172</v>
      </c>
      <c r="O103" s="91"/>
      <c r="P103" s="110" t="s">
        <v>1174</v>
      </c>
      <c r="Q103" s="39" t="s">
        <v>1175</v>
      </c>
      <c r="R103" s="39" t="s">
        <v>1172</v>
      </c>
      <c r="S103" s="91"/>
      <c r="T103" s="91"/>
      <c r="U103" s="91"/>
      <c r="V103" s="91"/>
      <c r="W103" s="39" t="s">
        <v>1174</v>
      </c>
      <c r="X103" s="39" t="s">
        <v>1172</v>
      </c>
      <c r="Y103" s="91"/>
      <c r="Z103" s="110" t="s">
        <v>1185</v>
      </c>
      <c r="AA103" s="39" t="s">
        <v>578</v>
      </c>
    </row>
    <row r="104" spans="1:27">
      <c r="A104" s="45" t="s">
        <v>519</v>
      </c>
      <c r="B104" s="120"/>
      <c r="C104" s="50" t="s">
        <v>1494</v>
      </c>
      <c r="D104" s="44" t="s">
        <v>1495</v>
      </c>
      <c r="E104" s="133" t="s">
        <v>63</v>
      </c>
      <c r="F104" s="41">
        <v>172</v>
      </c>
      <c r="G104" s="41">
        <v>69</v>
      </c>
      <c r="H104" s="39">
        <v>45</v>
      </c>
      <c r="I104" s="39" t="s">
        <v>1197</v>
      </c>
      <c r="J104" s="39" t="s">
        <v>1170</v>
      </c>
      <c r="K104" s="39" t="s">
        <v>1496</v>
      </c>
      <c r="L104" s="39" t="s">
        <v>578</v>
      </c>
      <c r="M104" s="39" t="s">
        <v>1497</v>
      </c>
      <c r="N104" s="39" t="s">
        <v>1172</v>
      </c>
      <c r="O104" s="91"/>
      <c r="P104" s="110" t="s">
        <v>1174</v>
      </c>
      <c r="Q104" s="39" t="s">
        <v>1175</v>
      </c>
      <c r="R104" s="39" t="s">
        <v>1172</v>
      </c>
      <c r="S104" s="91"/>
      <c r="T104" s="91"/>
      <c r="U104" s="91"/>
      <c r="V104" s="91"/>
      <c r="W104" s="39" t="s">
        <v>1174</v>
      </c>
      <c r="X104" s="39" t="s">
        <v>1172</v>
      </c>
      <c r="Y104" s="91"/>
      <c r="Z104" s="110" t="s">
        <v>1201</v>
      </c>
      <c r="AA104" s="39" t="s">
        <v>578</v>
      </c>
    </row>
    <row r="105" spans="1:27">
      <c r="A105" s="45" t="s">
        <v>529</v>
      </c>
      <c r="B105" s="120"/>
      <c r="C105" s="50" t="s">
        <v>1498</v>
      </c>
      <c r="D105" s="44" t="s">
        <v>1499</v>
      </c>
      <c r="E105" s="133" t="s">
        <v>85</v>
      </c>
      <c r="F105" s="41">
        <v>167</v>
      </c>
      <c r="G105" s="41">
        <v>64</v>
      </c>
      <c r="H105" s="39">
        <v>53</v>
      </c>
      <c r="I105" s="39" t="s">
        <v>1191</v>
      </c>
      <c r="J105" s="39" t="s">
        <v>1170</v>
      </c>
      <c r="K105" s="39" t="s">
        <v>1500</v>
      </c>
      <c r="L105" s="39" t="s">
        <v>1172</v>
      </c>
      <c r="M105" s="91"/>
      <c r="N105" s="39" t="s">
        <v>1172</v>
      </c>
      <c r="O105" s="91"/>
      <c r="P105" s="110" t="s">
        <v>1276</v>
      </c>
      <c r="Q105" s="39" t="s">
        <v>1175</v>
      </c>
      <c r="R105" s="39" t="s">
        <v>578</v>
      </c>
      <c r="S105" s="39">
        <v>10</v>
      </c>
      <c r="T105" s="39" t="s">
        <v>1174</v>
      </c>
      <c r="U105" s="39" t="s">
        <v>1244</v>
      </c>
      <c r="V105" s="39" t="s">
        <v>1244</v>
      </c>
      <c r="W105" s="39">
        <v>0</v>
      </c>
      <c r="X105" s="39" t="s">
        <v>1172</v>
      </c>
      <c r="Y105" s="91"/>
      <c r="Z105" s="110" t="s">
        <v>1185</v>
      </c>
      <c r="AA105" s="39" t="s">
        <v>1172</v>
      </c>
    </row>
    <row r="106" spans="1:27">
      <c r="A106" s="45" t="s">
        <v>551</v>
      </c>
      <c r="B106" s="120"/>
      <c r="C106" s="58" t="s">
        <v>1501</v>
      </c>
      <c r="D106" s="44" t="s">
        <v>1501</v>
      </c>
      <c r="E106" s="133" t="s">
        <v>63</v>
      </c>
      <c r="F106" s="41">
        <v>167</v>
      </c>
      <c r="G106" s="41">
        <v>67</v>
      </c>
      <c r="H106" s="39">
        <v>51</v>
      </c>
      <c r="I106" s="39" t="s">
        <v>1502</v>
      </c>
      <c r="J106" s="39" t="s">
        <v>1170</v>
      </c>
      <c r="K106" s="39" t="s">
        <v>1216</v>
      </c>
      <c r="L106" s="39" t="s">
        <v>1172</v>
      </c>
      <c r="M106" s="91"/>
      <c r="N106" s="39" t="s">
        <v>1172</v>
      </c>
      <c r="O106" s="91"/>
      <c r="P106" s="110" t="s">
        <v>1174</v>
      </c>
      <c r="Q106" s="39" t="s">
        <v>1175</v>
      </c>
      <c r="R106" s="39" t="s">
        <v>1172</v>
      </c>
      <c r="S106" s="91"/>
      <c r="T106" s="91"/>
      <c r="U106" s="91"/>
      <c r="V106" s="91"/>
      <c r="W106" s="39" t="s">
        <v>1174</v>
      </c>
      <c r="X106" s="39" t="s">
        <v>1172</v>
      </c>
      <c r="Y106" s="91"/>
      <c r="Z106" s="110" t="s">
        <v>1185</v>
      </c>
      <c r="AA106" s="39" t="s">
        <v>1172</v>
      </c>
    </row>
    <row r="107" spans="1:27">
      <c r="A107" s="45" t="s">
        <v>559</v>
      </c>
      <c r="B107" s="120"/>
      <c r="C107" s="50" t="s">
        <v>1503</v>
      </c>
      <c r="D107" s="44" t="s">
        <v>1503</v>
      </c>
      <c r="E107" s="133" t="s">
        <v>85</v>
      </c>
      <c r="F107" s="41">
        <v>166</v>
      </c>
      <c r="G107" s="41">
        <v>82</v>
      </c>
      <c r="H107" s="39">
        <v>49</v>
      </c>
      <c r="I107" s="39" t="s">
        <v>1197</v>
      </c>
      <c r="J107" s="39" t="s">
        <v>1170</v>
      </c>
      <c r="K107" s="39" t="s">
        <v>1504</v>
      </c>
      <c r="L107" s="39" t="s">
        <v>1172</v>
      </c>
      <c r="M107" s="91"/>
      <c r="N107" s="39" t="s">
        <v>1172</v>
      </c>
      <c r="O107" s="91"/>
      <c r="P107" s="110" t="s">
        <v>1199</v>
      </c>
      <c r="Q107" s="39" t="s">
        <v>1175</v>
      </c>
      <c r="R107" s="39" t="s">
        <v>1172</v>
      </c>
      <c r="S107" s="91"/>
      <c r="T107" s="91"/>
      <c r="U107" s="91"/>
      <c r="V107" s="91"/>
      <c r="W107" s="39" t="s">
        <v>1174</v>
      </c>
      <c r="X107" s="39" t="s">
        <v>1172</v>
      </c>
      <c r="Y107" s="91"/>
      <c r="Z107" s="110" t="s">
        <v>1185</v>
      </c>
      <c r="AA107" s="39" t="s">
        <v>1172</v>
      </c>
    </row>
    <row r="108" spans="1:27">
      <c r="A108" s="45" t="s">
        <v>562</v>
      </c>
      <c r="B108" s="120"/>
      <c r="C108" s="50" t="s">
        <v>1505</v>
      </c>
      <c r="D108" s="44" t="s">
        <v>1506</v>
      </c>
      <c r="E108" s="133" t="s">
        <v>85</v>
      </c>
      <c r="F108" s="41">
        <v>1.63</v>
      </c>
      <c r="G108" s="41">
        <v>65</v>
      </c>
      <c r="H108" s="39">
        <v>46</v>
      </c>
      <c r="I108" s="39" t="s">
        <v>1197</v>
      </c>
      <c r="J108" s="39" t="s">
        <v>1170</v>
      </c>
      <c r="K108" s="39" t="s">
        <v>1302</v>
      </c>
      <c r="L108" s="39" t="s">
        <v>1172</v>
      </c>
      <c r="M108" s="91"/>
      <c r="N108" s="39" t="s">
        <v>1172</v>
      </c>
      <c r="O108" s="91"/>
      <c r="P108" s="110" t="s">
        <v>1174</v>
      </c>
      <c r="Q108" s="39" t="s">
        <v>1175</v>
      </c>
      <c r="R108" s="39" t="s">
        <v>1172</v>
      </c>
      <c r="S108" s="91"/>
      <c r="T108" s="91"/>
      <c r="U108" s="91"/>
      <c r="V108" s="91"/>
      <c r="W108" s="39" t="s">
        <v>1174</v>
      </c>
      <c r="X108" s="39" t="s">
        <v>1172</v>
      </c>
      <c r="Y108" s="91"/>
      <c r="Z108" s="110" t="s">
        <v>1185</v>
      </c>
      <c r="AA108" s="39" t="s">
        <v>578</v>
      </c>
    </row>
    <row r="109" spans="1:27">
      <c r="A109" s="45" t="s">
        <v>566</v>
      </c>
      <c r="B109" s="120"/>
      <c r="C109" s="50" t="s">
        <v>1507</v>
      </c>
      <c r="D109" s="44" t="s">
        <v>1508</v>
      </c>
      <c r="E109" s="133" t="s">
        <v>85</v>
      </c>
      <c r="F109" s="41">
        <v>156</v>
      </c>
      <c r="G109" s="41">
        <v>65</v>
      </c>
      <c r="H109" s="39">
        <v>60</v>
      </c>
      <c r="I109" s="39" t="s">
        <v>1197</v>
      </c>
      <c r="J109" s="39" t="s">
        <v>1170</v>
      </c>
      <c r="K109" s="39" t="s">
        <v>1302</v>
      </c>
      <c r="L109" s="39" t="s">
        <v>578</v>
      </c>
      <c r="M109" s="39" t="s">
        <v>1509</v>
      </c>
      <c r="N109" s="39" t="s">
        <v>1172</v>
      </c>
      <c r="O109" s="91"/>
      <c r="P109" s="110" t="s">
        <v>1174</v>
      </c>
      <c r="Q109" s="39" t="s">
        <v>1175</v>
      </c>
      <c r="R109" s="39" t="s">
        <v>578</v>
      </c>
      <c r="S109" s="39" t="s">
        <v>1510</v>
      </c>
      <c r="T109" s="39">
        <v>0</v>
      </c>
      <c r="U109" s="91"/>
      <c r="V109" s="91"/>
      <c r="W109" s="39">
        <v>0</v>
      </c>
      <c r="X109" s="39" t="s">
        <v>1172</v>
      </c>
      <c r="Y109" s="91"/>
      <c r="Z109" s="110" t="s">
        <v>1201</v>
      </c>
      <c r="AA109" s="39" t="s">
        <v>578</v>
      </c>
    </row>
    <row r="110" spans="1:27">
      <c r="A110" s="45" t="s">
        <v>577</v>
      </c>
      <c r="B110" s="120"/>
      <c r="C110" s="50" t="s">
        <v>1511</v>
      </c>
      <c r="D110" s="44" t="s">
        <v>1511</v>
      </c>
      <c r="E110" s="133" t="s">
        <v>63</v>
      </c>
      <c r="F110" s="41">
        <v>175</v>
      </c>
      <c r="G110" s="41">
        <v>140</v>
      </c>
      <c r="H110" s="39">
        <v>47</v>
      </c>
      <c r="I110" s="39" t="s">
        <v>1215</v>
      </c>
      <c r="J110" s="39" t="s">
        <v>1170</v>
      </c>
      <c r="K110" s="39" t="s">
        <v>1302</v>
      </c>
      <c r="L110" s="39" t="s">
        <v>1172</v>
      </c>
      <c r="M110" s="91"/>
      <c r="N110" s="39" t="s">
        <v>1172</v>
      </c>
      <c r="O110" s="91"/>
      <c r="P110" s="110">
        <v>0</v>
      </c>
      <c r="Q110" s="39" t="s">
        <v>1175</v>
      </c>
      <c r="R110" s="39" t="s">
        <v>578</v>
      </c>
      <c r="S110" s="91"/>
      <c r="T110" s="39">
        <v>0</v>
      </c>
      <c r="U110" s="91"/>
      <c r="V110" s="91"/>
      <c r="W110" s="39" t="s">
        <v>1174</v>
      </c>
      <c r="X110" s="39" t="s">
        <v>1172</v>
      </c>
      <c r="Y110" s="91"/>
      <c r="Z110" s="110" t="s">
        <v>1185</v>
      </c>
      <c r="AA110" s="39" t="s">
        <v>1172</v>
      </c>
    </row>
    <row r="111" spans="1:27">
      <c r="A111" s="45" t="s">
        <v>585</v>
      </c>
      <c r="B111" s="120"/>
      <c r="C111" s="50" t="s">
        <v>1512</v>
      </c>
      <c r="D111" s="44" t="s">
        <v>1512</v>
      </c>
      <c r="E111" s="133" t="s">
        <v>63</v>
      </c>
      <c r="F111" s="41">
        <v>167</v>
      </c>
      <c r="G111" s="41">
        <v>78</v>
      </c>
      <c r="H111" s="39">
        <v>60</v>
      </c>
      <c r="I111" s="39" t="s">
        <v>1197</v>
      </c>
      <c r="J111" s="39" t="s">
        <v>1170</v>
      </c>
      <c r="K111" s="39" t="s">
        <v>1192</v>
      </c>
      <c r="L111" s="39" t="s">
        <v>1172</v>
      </c>
      <c r="M111" s="91"/>
      <c r="N111" s="39" t="s">
        <v>578</v>
      </c>
      <c r="O111" s="39" t="s">
        <v>1513</v>
      </c>
      <c r="P111" s="110" t="s">
        <v>1174</v>
      </c>
      <c r="Q111" s="39" t="s">
        <v>1175</v>
      </c>
      <c r="R111" s="39" t="s">
        <v>578</v>
      </c>
      <c r="S111" s="91"/>
      <c r="T111" s="39">
        <v>0</v>
      </c>
      <c r="U111" s="91"/>
      <c r="V111" s="91"/>
      <c r="W111" s="39" t="s">
        <v>1174</v>
      </c>
      <c r="X111" s="39" t="s">
        <v>1172</v>
      </c>
      <c r="Y111" s="91"/>
      <c r="Z111" s="110" t="s">
        <v>1185</v>
      </c>
      <c r="AA111" s="39" t="s">
        <v>1172</v>
      </c>
    </row>
    <row r="112" spans="1:27">
      <c r="A112" s="45" t="s">
        <v>590</v>
      </c>
      <c r="B112" s="120"/>
      <c r="C112" s="50" t="s">
        <v>1514</v>
      </c>
      <c r="D112" s="44" t="s">
        <v>1514</v>
      </c>
      <c r="E112" s="133" t="s">
        <v>63</v>
      </c>
      <c r="F112" s="41">
        <v>1.58</v>
      </c>
      <c r="G112" s="41">
        <v>65</v>
      </c>
      <c r="H112" s="39">
        <v>64</v>
      </c>
      <c r="I112" s="39" t="s">
        <v>1232</v>
      </c>
      <c r="J112" s="39" t="s">
        <v>1170</v>
      </c>
      <c r="K112" s="39" t="s">
        <v>1515</v>
      </c>
      <c r="L112" s="39" t="s">
        <v>1172</v>
      </c>
      <c r="M112" s="91"/>
      <c r="N112" s="39" t="s">
        <v>1172</v>
      </c>
      <c r="O112" s="91"/>
      <c r="P112" s="110" t="s">
        <v>1174</v>
      </c>
      <c r="Q112" s="39" t="s">
        <v>1285</v>
      </c>
      <c r="R112" s="39" t="s">
        <v>578</v>
      </c>
      <c r="S112" s="91"/>
      <c r="T112" s="39" t="s">
        <v>1174</v>
      </c>
      <c r="U112" s="39" t="s">
        <v>1385</v>
      </c>
      <c r="V112" s="39" t="s">
        <v>1244</v>
      </c>
      <c r="W112" s="39" t="s">
        <v>1174</v>
      </c>
      <c r="X112" s="39" t="s">
        <v>1172</v>
      </c>
      <c r="Y112" s="91"/>
      <c r="Z112" s="110" t="s">
        <v>1201</v>
      </c>
      <c r="AA112" s="39" t="s">
        <v>1172</v>
      </c>
    </row>
    <row r="113" spans="1:27">
      <c r="A113" s="45" t="s">
        <v>594</v>
      </c>
      <c r="B113" s="120"/>
      <c r="C113" s="50" t="s">
        <v>1516</v>
      </c>
      <c r="D113" s="44" t="s">
        <v>1516</v>
      </c>
      <c r="E113" s="133" t="s">
        <v>85</v>
      </c>
      <c r="F113" s="41">
        <v>160</v>
      </c>
      <c r="G113" s="41">
        <v>51</v>
      </c>
      <c r="H113" s="39">
        <v>49</v>
      </c>
      <c r="I113" s="39" t="s">
        <v>1197</v>
      </c>
      <c r="J113" s="39" t="s">
        <v>1170</v>
      </c>
      <c r="K113" s="39" t="s">
        <v>1269</v>
      </c>
      <c r="L113" s="39" t="s">
        <v>1172</v>
      </c>
      <c r="M113" s="91"/>
      <c r="N113" s="39" t="s">
        <v>1172</v>
      </c>
      <c r="O113" s="91"/>
      <c r="P113" s="110" t="s">
        <v>1174</v>
      </c>
      <c r="Q113" s="39" t="s">
        <v>1175</v>
      </c>
      <c r="R113" s="39" t="s">
        <v>1172</v>
      </c>
      <c r="S113" s="91"/>
      <c r="T113" s="91"/>
      <c r="U113" s="91"/>
      <c r="V113" s="91"/>
      <c r="W113" s="39">
        <v>0</v>
      </c>
      <c r="X113" s="39" t="s">
        <v>578</v>
      </c>
      <c r="Y113" s="39" t="s">
        <v>1517</v>
      </c>
      <c r="Z113" s="110" t="s">
        <v>1201</v>
      </c>
      <c r="AA113" s="39" t="s">
        <v>1172</v>
      </c>
    </row>
    <row r="114" spans="1:27">
      <c r="A114" s="45" t="s">
        <v>597</v>
      </c>
      <c r="B114" s="120"/>
      <c r="C114" s="58" t="s">
        <v>1518</v>
      </c>
      <c r="D114" s="44" t="s">
        <v>1518</v>
      </c>
      <c r="E114" s="133" t="s">
        <v>63</v>
      </c>
      <c r="F114" s="41">
        <v>166</v>
      </c>
      <c r="G114" s="41">
        <v>83</v>
      </c>
      <c r="H114" s="39">
        <v>58</v>
      </c>
      <c r="I114" s="39" t="s">
        <v>1215</v>
      </c>
      <c r="J114" s="39" t="s">
        <v>1170</v>
      </c>
      <c r="K114" s="39" t="s">
        <v>1519</v>
      </c>
      <c r="L114" s="39" t="s">
        <v>1172</v>
      </c>
      <c r="M114" s="91"/>
      <c r="N114" s="39" t="s">
        <v>1172</v>
      </c>
      <c r="O114" s="91"/>
      <c r="P114" s="110" t="s">
        <v>1174</v>
      </c>
      <c r="Q114" s="39" t="s">
        <v>1175</v>
      </c>
      <c r="R114" s="39" t="s">
        <v>578</v>
      </c>
      <c r="S114" s="91"/>
      <c r="T114" s="39">
        <v>0</v>
      </c>
      <c r="U114" s="91"/>
      <c r="V114" s="91"/>
      <c r="W114" s="39" t="s">
        <v>1174</v>
      </c>
      <c r="X114" s="39" t="s">
        <v>578</v>
      </c>
      <c r="Y114" s="39" t="s">
        <v>1520</v>
      </c>
      <c r="Z114" s="110" t="s">
        <v>1201</v>
      </c>
      <c r="AA114" s="39" t="s">
        <v>578</v>
      </c>
    </row>
    <row r="115" spans="1:27">
      <c r="A115" s="45" t="s">
        <v>600</v>
      </c>
      <c r="B115" s="120"/>
      <c r="C115" s="58" t="s">
        <v>1521</v>
      </c>
      <c r="D115" s="44" t="s">
        <v>1522</v>
      </c>
      <c r="E115" s="133" t="s">
        <v>85</v>
      </c>
      <c r="F115" s="41" t="s">
        <v>1523</v>
      </c>
      <c r="G115" s="41" t="s">
        <v>1524</v>
      </c>
      <c r="H115" s="39">
        <v>66</v>
      </c>
      <c r="I115" s="39" t="s">
        <v>1197</v>
      </c>
      <c r="J115" s="39" t="s">
        <v>1170</v>
      </c>
      <c r="K115" s="39" t="s">
        <v>1171</v>
      </c>
      <c r="L115" s="39" t="s">
        <v>1172</v>
      </c>
      <c r="M115" s="91"/>
      <c r="N115" s="39" t="s">
        <v>1172</v>
      </c>
      <c r="O115" s="91"/>
      <c r="P115" s="110" t="s">
        <v>1174</v>
      </c>
      <c r="Q115" s="39" t="s">
        <v>1175</v>
      </c>
      <c r="R115" s="39" t="s">
        <v>1172</v>
      </c>
      <c r="S115" s="91"/>
      <c r="T115" s="91"/>
      <c r="U115" s="91"/>
      <c r="V115" s="91"/>
      <c r="W115" s="39" t="s">
        <v>1174</v>
      </c>
      <c r="X115" s="39" t="s">
        <v>578</v>
      </c>
      <c r="Y115" s="39" t="s">
        <v>1525</v>
      </c>
      <c r="Z115" s="110" t="s">
        <v>1201</v>
      </c>
      <c r="AA115" s="39" t="s">
        <v>578</v>
      </c>
    </row>
    <row r="116" spans="1:27">
      <c r="A116" s="45" t="s">
        <v>602</v>
      </c>
      <c r="B116" s="120"/>
      <c r="C116" s="45" t="s">
        <v>1526</v>
      </c>
      <c r="D116" s="44" t="s">
        <v>1526</v>
      </c>
      <c r="E116" s="133" t="s">
        <v>85</v>
      </c>
      <c r="F116" s="41">
        <v>157.5</v>
      </c>
      <c r="G116" s="41">
        <v>47</v>
      </c>
      <c r="H116" s="39">
        <v>53</v>
      </c>
      <c r="I116" s="39" t="s">
        <v>1215</v>
      </c>
      <c r="J116" s="39" t="s">
        <v>1170</v>
      </c>
      <c r="K116" s="39" t="s">
        <v>1527</v>
      </c>
      <c r="L116" s="39" t="s">
        <v>578</v>
      </c>
      <c r="M116" s="39" t="s">
        <v>1528</v>
      </c>
      <c r="N116" s="39" t="s">
        <v>578</v>
      </c>
      <c r="O116" s="39" t="s">
        <v>1529</v>
      </c>
      <c r="P116" s="110" t="s">
        <v>1276</v>
      </c>
      <c r="Q116" s="39" t="s">
        <v>1285</v>
      </c>
      <c r="R116" s="39" t="s">
        <v>578</v>
      </c>
      <c r="S116" s="39" t="s">
        <v>1530</v>
      </c>
      <c r="T116" s="39" t="s">
        <v>1199</v>
      </c>
      <c r="U116" s="91"/>
      <c r="V116" s="39" t="s">
        <v>1368</v>
      </c>
      <c r="W116" s="39" t="s">
        <v>1276</v>
      </c>
      <c r="X116" s="39" t="s">
        <v>578</v>
      </c>
      <c r="Y116" s="39" t="s">
        <v>1531</v>
      </c>
      <c r="Z116" s="110" t="s">
        <v>1185</v>
      </c>
      <c r="AA116" s="39" t="s">
        <v>1172</v>
      </c>
    </row>
    <row r="117" spans="1:27">
      <c r="A117" s="59" t="s">
        <v>212</v>
      </c>
      <c r="B117" s="121"/>
      <c r="C117" s="59" t="s">
        <v>1532</v>
      </c>
      <c r="D117" s="88" t="s">
        <v>1532</v>
      </c>
      <c r="E117" s="132" t="s">
        <v>85</v>
      </c>
      <c r="F117" s="60" t="s">
        <v>1203</v>
      </c>
      <c r="G117" s="60" t="s">
        <v>1533</v>
      </c>
      <c r="H117" s="43">
        <v>41</v>
      </c>
      <c r="I117" s="88" t="s">
        <v>1197</v>
      </c>
      <c r="J117" s="88" t="s">
        <v>1170</v>
      </c>
      <c r="K117" s="88" t="s">
        <v>1534</v>
      </c>
      <c r="L117" s="88" t="s">
        <v>1172</v>
      </c>
      <c r="M117" s="88" t="s">
        <v>1173</v>
      </c>
      <c r="N117" s="88" t="s">
        <v>1172</v>
      </c>
      <c r="O117" s="88" t="s">
        <v>1173</v>
      </c>
      <c r="P117" s="111" t="s">
        <v>1174</v>
      </c>
      <c r="Q117" s="88" t="s">
        <v>1175</v>
      </c>
      <c r="R117" s="88" t="s">
        <v>578</v>
      </c>
      <c r="S117" s="88" t="s">
        <v>1431</v>
      </c>
      <c r="T117" s="88" t="s">
        <v>1174</v>
      </c>
      <c r="U117" s="88" t="s">
        <v>1367</v>
      </c>
      <c r="V117" s="88" t="s">
        <v>1244</v>
      </c>
      <c r="W117" s="88" t="s">
        <v>1174</v>
      </c>
      <c r="X117" s="88" t="s">
        <v>578</v>
      </c>
      <c r="Y117" s="88" t="s">
        <v>1535</v>
      </c>
      <c r="Z117" s="111" t="s">
        <v>1185</v>
      </c>
      <c r="AA117" s="88" t="s">
        <v>1172</v>
      </c>
    </row>
    <row r="118" spans="1:27">
      <c r="A118" s="87" t="s">
        <v>1536</v>
      </c>
      <c r="C118" s="87"/>
      <c r="D118" s="88" t="s">
        <v>1173</v>
      </c>
      <c r="E118" s="134" t="s">
        <v>85</v>
      </c>
      <c r="F118" s="90" t="s">
        <v>1400</v>
      </c>
      <c r="G118" s="90" t="s">
        <v>1537</v>
      </c>
      <c r="H118">
        <v>52</v>
      </c>
      <c r="I118" s="89" t="s">
        <v>1197</v>
      </c>
      <c r="J118" s="89" t="s">
        <v>1170</v>
      </c>
      <c r="K118" s="89" t="s">
        <v>1221</v>
      </c>
      <c r="L118" s="89" t="s">
        <v>1172</v>
      </c>
      <c r="M118" s="89" t="s">
        <v>1173</v>
      </c>
      <c r="N118" s="89" t="s">
        <v>1172</v>
      </c>
      <c r="O118" s="89" t="s">
        <v>1173</v>
      </c>
      <c r="P118" s="109" t="s">
        <v>1174</v>
      </c>
      <c r="Q118" s="89" t="s">
        <v>1175</v>
      </c>
      <c r="R118" s="89" t="s">
        <v>1172</v>
      </c>
      <c r="S118" s="89" t="s">
        <v>1173</v>
      </c>
      <c r="T118" s="89" t="s">
        <v>1173</v>
      </c>
      <c r="U118" s="89" t="s">
        <v>1173</v>
      </c>
      <c r="V118" s="89" t="s">
        <v>1173</v>
      </c>
      <c r="W118" s="89" t="s">
        <v>1177</v>
      </c>
      <c r="X118" s="89" t="s">
        <v>1172</v>
      </c>
      <c r="Y118" s="89" t="s">
        <v>1173</v>
      </c>
      <c r="Z118" s="109" t="s">
        <v>1201</v>
      </c>
      <c r="AA118" s="89" t="s">
        <v>1172</v>
      </c>
    </row>
    <row r="119" spans="1:27">
      <c r="A119" s="45" t="s">
        <v>610</v>
      </c>
      <c r="B119" s="120"/>
      <c r="C119" t="s">
        <v>1538</v>
      </c>
      <c r="D119" s="57" t="s">
        <v>1539</v>
      </c>
      <c r="E119" s="57" t="s">
        <v>85</v>
      </c>
      <c r="F119" s="57">
        <v>158</v>
      </c>
      <c r="G119" s="57">
        <v>47</v>
      </c>
      <c r="H119" s="57">
        <v>41</v>
      </c>
      <c r="I119" s="57" t="s">
        <v>1197</v>
      </c>
      <c r="J119" s="57" t="s">
        <v>1170</v>
      </c>
      <c r="K119" s="57" t="s">
        <v>1192</v>
      </c>
      <c r="L119" s="57" t="s">
        <v>1172</v>
      </c>
      <c r="M119" s="57"/>
      <c r="N119" s="57" t="s">
        <v>1172</v>
      </c>
      <c r="O119" s="57"/>
      <c r="P119" s="112" t="s">
        <v>1174</v>
      </c>
      <c r="Q119" s="57" t="s">
        <v>1175</v>
      </c>
      <c r="R119" s="57" t="s">
        <v>1172</v>
      </c>
      <c r="S119" s="57"/>
      <c r="T119" s="57"/>
      <c r="U119" s="57"/>
      <c r="V119" s="57"/>
      <c r="W119" s="57" t="s">
        <v>1174</v>
      </c>
      <c r="X119" s="57" t="s">
        <v>578</v>
      </c>
      <c r="Y119" s="57" t="s">
        <v>1540</v>
      </c>
      <c r="Z119" s="112" t="s">
        <v>1178</v>
      </c>
      <c r="AA119" s="57" t="s">
        <v>578</v>
      </c>
    </row>
    <row r="120" spans="1:27">
      <c r="A120" s="45" t="s">
        <v>614</v>
      </c>
      <c r="B120" s="120"/>
      <c r="C120" t="s">
        <v>1541</v>
      </c>
      <c r="D120" s="57" t="s">
        <v>1542</v>
      </c>
      <c r="E120" s="57" t="s">
        <v>63</v>
      </c>
      <c r="F120" s="57">
        <v>169</v>
      </c>
      <c r="G120" s="57">
        <v>67</v>
      </c>
      <c r="H120" s="57">
        <v>55</v>
      </c>
      <c r="I120" s="57" t="s">
        <v>1543</v>
      </c>
      <c r="J120" s="57" t="s">
        <v>1170</v>
      </c>
      <c r="K120" s="57" t="s">
        <v>1302</v>
      </c>
      <c r="L120" s="57" t="s">
        <v>1172</v>
      </c>
      <c r="M120" s="57"/>
      <c r="N120" s="57" t="s">
        <v>1172</v>
      </c>
      <c r="O120" s="57"/>
      <c r="P120" s="112" t="s">
        <v>1199</v>
      </c>
      <c r="Q120" s="57" t="s">
        <v>1175</v>
      </c>
      <c r="R120" s="57" t="s">
        <v>578</v>
      </c>
      <c r="S120" s="57"/>
      <c r="T120" s="57">
        <v>0</v>
      </c>
      <c r="U120" s="57"/>
      <c r="V120" s="57"/>
      <c r="W120" s="57" t="s">
        <v>1174</v>
      </c>
      <c r="X120" s="57" t="s">
        <v>1172</v>
      </c>
      <c r="Y120" s="57"/>
      <c r="Z120" s="112" t="s">
        <v>1201</v>
      </c>
      <c r="AA120" s="57" t="s">
        <v>1172</v>
      </c>
    </row>
    <row r="121" spans="1:27">
      <c r="A121" s="45" t="s">
        <v>630</v>
      </c>
      <c r="B121" s="120"/>
      <c r="C121" t="s">
        <v>1544</v>
      </c>
      <c r="D121" s="57" t="s">
        <v>1544</v>
      </c>
      <c r="E121" s="57" t="s">
        <v>63</v>
      </c>
      <c r="F121" s="57">
        <v>173</v>
      </c>
      <c r="G121" s="57">
        <v>68</v>
      </c>
      <c r="H121" s="57">
        <v>58</v>
      </c>
      <c r="I121" s="57" t="s">
        <v>1228</v>
      </c>
      <c r="J121" s="57" t="s">
        <v>1170</v>
      </c>
      <c r="K121" s="57" t="s">
        <v>1192</v>
      </c>
      <c r="L121" s="57" t="s">
        <v>1172</v>
      </c>
      <c r="M121" s="57"/>
      <c r="N121" s="57" t="s">
        <v>1172</v>
      </c>
      <c r="O121" s="57"/>
      <c r="P121" s="112" t="s">
        <v>1174</v>
      </c>
      <c r="Q121" s="57" t="s">
        <v>1285</v>
      </c>
      <c r="R121" s="57" t="s">
        <v>578</v>
      </c>
      <c r="S121" s="57">
        <v>2</v>
      </c>
      <c r="T121" s="57" t="s">
        <v>1174</v>
      </c>
      <c r="U121" s="57" t="s">
        <v>1385</v>
      </c>
      <c r="V121" s="57" t="s">
        <v>1244</v>
      </c>
      <c r="W121" s="57" t="s">
        <v>1174</v>
      </c>
      <c r="X121" s="57" t="s">
        <v>1172</v>
      </c>
      <c r="Y121" s="57"/>
      <c r="Z121" s="112" t="s">
        <v>1201</v>
      </c>
      <c r="AA121" s="57" t="s">
        <v>578</v>
      </c>
    </row>
    <row r="122" spans="1:27">
      <c r="A122" s="45" t="s">
        <v>635</v>
      </c>
      <c r="B122" s="120"/>
      <c r="C122" t="s">
        <v>1545</v>
      </c>
      <c r="D122" s="57" t="s">
        <v>1546</v>
      </c>
      <c r="E122" s="57" t="s">
        <v>63</v>
      </c>
      <c r="F122" s="57">
        <v>172</v>
      </c>
      <c r="G122" s="57">
        <v>56</v>
      </c>
      <c r="H122" s="57">
        <v>70</v>
      </c>
      <c r="I122" s="57" t="s">
        <v>1169</v>
      </c>
      <c r="J122" s="57" t="s">
        <v>1170</v>
      </c>
      <c r="K122" s="57" t="s">
        <v>1269</v>
      </c>
      <c r="L122" s="57" t="s">
        <v>1172</v>
      </c>
      <c r="M122" s="57"/>
      <c r="N122" s="57" t="s">
        <v>1172</v>
      </c>
      <c r="O122" s="57"/>
      <c r="P122" s="112" t="s">
        <v>1174</v>
      </c>
      <c r="Q122" s="57" t="s">
        <v>1175</v>
      </c>
      <c r="R122" s="57" t="s">
        <v>1172</v>
      </c>
      <c r="S122" s="57"/>
      <c r="T122" s="57"/>
      <c r="U122" s="57"/>
      <c r="V122" s="57"/>
      <c r="W122" s="57" t="s">
        <v>1174</v>
      </c>
      <c r="X122" s="57" t="s">
        <v>1172</v>
      </c>
      <c r="Y122" s="57"/>
      <c r="Z122" s="112" t="s">
        <v>1201</v>
      </c>
      <c r="AA122" s="57" t="s">
        <v>1172</v>
      </c>
    </row>
    <row r="123" spans="1:27">
      <c r="A123" s="45" t="s">
        <v>638</v>
      </c>
      <c r="B123" s="120"/>
      <c r="C123" t="s">
        <v>1547</v>
      </c>
      <c r="D123" s="57" t="s">
        <v>1547</v>
      </c>
      <c r="E123" s="57" t="s">
        <v>85</v>
      </c>
      <c r="F123" s="57">
        <v>1.57</v>
      </c>
      <c r="G123" s="57">
        <v>45</v>
      </c>
      <c r="H123" s="57">
        <v>63</v>
      </c>
      <c r="I123" s="57" t="s">
        <v>1309</v>
      </c>
      <c r="J123" s="57" t="s">
        <v>1170</v>
      </c>
      <c r="K123" s="57" t="s">
        <v>1192</v>
      </c>
      <c r="L123" s="57" t="s">
        <v>1172</v>
      </c>
      <c r="M123" s="57"/>
      <c r="N123" s="57" t="s">
        <v>1172</v>
      </c>
      <c r="O123" s="57"/>
      <c r="P123" s="112" t="s">
        <v>1174</v>
      </c>
      <c r="Q123" s="57" t="s">
        <v>1175</v>
      </c>
      <c r="R123" s="57" t="s">
        <v>1172</v>
      </c>
      <c r="S123" s="57"/>
      <c r="T123" s="57"/>
      <c r="U123" s="57"/>
      <c r="V123" s="57"/>
      <c r="W123" s="57" t="s">
        <v>1174</v>
      </c>
      <c r="X123" s="57" t="s">
        <v>1172</v>
      </c>
      <c r="Y123" s="57"/>
      <c r="Z123" s="112" t="s">
        <v>1185</v>
      </c>
      <c r="AA123" s="57" t="s">
        <v>1172</v>
      </c>
    </row>
    <row r="124" spans="1:27">
      <c r="A124" s="45" t="s">
        <v>644</v>
      </c>
      <c r="B124" s="120"/>
      <c r="C124" t="s">
        <v>1548</v>
      </c>
      <c r="D124" s="57" t="s">
        <v>1549</v>
      </c>
      <c r="E124" s="57" t="s">
        <v>63</v>
      </c>
      <c r="F124" s="57">
        <v>168</v>
      </c>
      <c r="G124" s="57">
        <v>72</v>
      </c>
      <c r="H124" s="57">
        <v>63</v>
      </c>
      <c r="I124" s="57" t="s">
        <v>1228</v>
      </c>
      <c r="J124" s="57" t="s">
        <v>1170</v>
      </c>
      <c r="K124" s="57" t="s">
        <v>1192</v>
      </c>
      <c r="L124" s="57" t="s">
        <v>1172</v>
      </c>
      <c r="M124" s="57"/>
      <c r="N124" s="57" t="s">
        <v>1172</v>
      </c>
      <c r="O124" s="57"/>
      <c r="P124" s="112" t="s">
        <v>1174</v>
      </c>
      <c r="Q124" s="57" t="s">
        <v>1175</v>
      </c>
      <c r="R124" s="57" t="s">
        <v>1172</v>
      </c>
      <c r="S124" s="57"/>
      <c r="T124" s="57"/>
      <c r="U124" s="57"/>
      <c r="V124" s="57"/>
      <c r="W124" s="57" t="s">
        <v>1174</v>
      </c>
      <c r="X124" s="57" t="s">
        <v>1172</v>
      </c>
      <c r="Y124" s="57"/>
      <c r="Z124" s="112" t="s">
        <v>1178</v>
      </c>
      <c r="AA124" s="57" t="s">
        <v>1172</v>
      </c>
    </row>
    <row r="125" spans="1:27">
      <c r="A125" s="45" t="s">
        <v>653</v>
      </c>
      <c r="B125" s="120"/>
      <c r="C125" t="s">
        <v>1550</v>
      </c>
      <c r="D125" s="57" t="s">
        <v>1551</v>
      </c>
      <c r="E125" s="57" t="s">
        <v>85</v>
      </c>
      <c r="F125" s="57" t="s">
        <v>1552</v>
      </c>
      <c r="G125" s="57">
        <v>55</v>
      </c>
      <c r="H125" s="57">
        <v>66</v>
      </c>
      <c r="I125" s="57" t="s">
        <v>1197</v>
      </c>
      <c r="J125" s="57" t="s">
        <v>1170</v>
      </c>
      <c r="K125" s="57" t="s">
        <v>1192</v>
      </c>
      <c r="L125" s="57" t="s">
        <v>1172</v>
      </c>
      <c r="M125" s="57"/>
      <c r="N125" s="57" t="s">
        <v>1172</v>
      </c>
      <c r="O125" s="57"/>
      <c r="P125" s="112" t="s">
        <v>1276</v>
      </c>
      <c r="Q125" s="57" t="s">
        <v>1175</v>
      </c>
      <c r="R125" s="57" t="s">
        <v>578</v>
      </c>
      <c r="S125" s="57">
        <v>15</v>
      </c>
      <c r="T125" s="57" t="s">
        <v>1174</v>
      </c>
      <c r="U125" s="57" t="s">
        <v>1244</v>
      </c>
      <c r="V125" s="57" t="s">
        <v>1244</v>
      </c>
      <c r="W125" s="57" t="s">
        <v>1199</v>
      </c>
      <c r="X125" s="57" t="s">
        <v>1172</v>
      </c>
      <c r="Y125" s="57"/>
      <c r="Z125" s="112" t="s">
        <v>1185</v>
      </c>
      <c r="AA125" s="57" t="s">
        <v>1172</v>
      </c>
    </row>
    <row r="126" spans="1:27">
      <c r="A126" s="45" t="s">
        <v>658</v>
      </c>
      <c r="B126" s="120"/>
      <c r="C126" t="s">
        <v>1553</v>
      </c>
      <c r="D126" s="57" t="s">
        <v>1554</v>
      </c>
      <c r="E126" s="57" t="s">
        <v>85</v>
      </c>
      <c r="F126" s="57">
        <v>156</v>
      </c>
      <c r="G126" s="57">
        <v>60</v>
      </c>
      <c r="H126" s="57">
        <v>42</v>
      </c>
      <c r="I126" s="57" t="s">
        <v>1555</v>
      </c>
      <c r="J126" s="57" t="s">
        <v>1170</v>
      </c>
      <c r="K126" s="57" t="s">
        <v>1221</v>
      </c>
      <c r="L126" s="57" t="s">
        <v>1172</v>
      </c>
      <c r="M126" s="57"/>
      <c r="N126" s="57" t="s">
        <v>1172</v>
      </c>
      <c r="O126" s="57"/>
      <c r="P126" s="112" t="s">
        <v>1174</v>
      </c>
      <c r="Q126" s="57" t="s">
        <v>1175</v>
      </c>
      <c r="R126" s="57" t="s">
        <v>578</v>
      </c>
      <c r="S126" s="57"/>
      <c r="T126" s="57">
        <v>0</v>
      </c>
      <c r="U126" s="57"/>
      <c r="V126" s="57"/>
      <c r="W126" s="57" t="s">
        <v>1174</v>
      </c>
      <c r="X126" s="57" t="s">
        <v>578</v>
      </c>
      <c r="Y126" s="57" t="s">
        <v>1556</v>
      </c>
      <c r="Z126" s="112" t="s">
        <v>1178</v>
      </c>
      <c r="AA126" s="57" t="s">
        <v>1172</v>
      </c>
    </row>
    <row r="127" spans="1:27">
      <c r="A127" s="45" t="s">
        <v>664</v>
      </c>
      <c r="B127" s="120"/>
      <c r="C127" t="s">
        <v>1557</v>
      </c>
      <c r="D127" s="57" t="s">
        <v>1557</v>
      </c>
      <c r="E127" s="57" t="s">
        <v>85</v>
      </c>
      <c r="F127" s="57">
        <v>156</v>
      </c>
      <c r="G127" s="57">
        <v>58</v>
      </c>
      <c r="H127" s="57">
        <v>60</v>
      </c>
      <c r="I127" s="57" t="s">
        <v>1191</v>
      </c>
      <c r="J127" s="57" t="s">
        <v>1170</v>
      </c>
      <c r="K127" s="57" t="s">
        <v>1192</v>
      </c>
      <c r="L127" s="57" t="s">
        <v>1172</v>
      </c>
      <c r="M127" s="57"/>
      <c r="N127" s="57" t="s">
        <v>1172</v>
      </c>
      <c r="O127" s="57"/>
      <c r="P127" s="112" t="s">
        <v>1174</v>
      </c>
      <c r="Q127" s="57" t="s">
        <v>1175</v>
      </c>
      <c r="R127" s="57" t="s">
        <v>578</v>
      </c>
      <c r="S127" s="57"/>
      <c r="T127" s="57">
        <v>0</v>
      </c>
      <c r="U127" s="57"/>
      <c r="V127" s="57"/>
      <c r="W127" s="57">
        <v>0</v>
      </c>
      <c r="X127" s="57" t="s">
        <v>1172</v>
      </c>
      <c r="Y127" s="57"/>
      <c r="Z127" s="112" t="s">
        <v>1185</v>
      </c>
      <c r="AA127" s="57" t="s">
        <v>1172</v>
      </c>
    </row>
    <row r="128" spans="1:27">
      <c r="A128" s="45" t="s">
        <v>669</v>
      </c>
      <c r="B128" s="120"/>
      <c r="C128" t="s">
        <v>1558</v>
      </c>
      <c r="D128" s="57" t="s">
        <v>1559</v>
      </c>
      <c r="E128" s="57" t="s">
        <v>85</v>
      </c>
      <c r="F128" s="57">
        <v>155</v>
      </c>
      <c r="G128" s="57">
        <v>50.5</v>
      </c>
      <c r="H128" s="57">
        <v>50</v>
      </c>
      <c r="I128" s="57" t="s">
        <v>1197</v>
      </c>
      <c r="J128" s="57" t="s">
        <v>1170</v>
      </c>
      <c r="K128" s="57" t="s">
        <v>1192</v>
      </c>
      <c r="L128" s="57" t="s">
        <v>578</v>
      </c>
      <c r="M128" s="57" t="s">
        <v>1560</v>
      </c>
      <c r="N128" s="57" t="s">
        <v>1172</v>
      </c>
      <c r="O128" s="57"/>
      <c r="P128" s="112" t="s">
        <v>1174</v>
      </c>
      <c r="Q128" s="57" t="s">
        <v>1175</v>
      </c>
      <c r="R128" s="57" t="s">
        <v>1172</v>
      </c>
      <c r="S128" s="57"/>
      <c r="T128" s="57"/>
      <c r="U128" s="57"/>
      <c r="V128" s="57"/>
      <c r="W128" s="57" t="s">
        <v>1174</v>
      </c>
      <c r="X128" s="57" t="s">
        <v>578</v>
      </c>
      <c r="Y128" s="57" t="s">
        <v>1560</v>
      </c>
      <c r="Z128" s="112" t="s">
        <v>1201</v>
      </c>
      <c r="AA128" s="57" t="s">
        <v>578</v>
      </c>
    </row>
    <row r="129" spans="1:27">
      <c r="A129" s="45" t="s">
        <v>684</v>
      </c>
      <c r="B129" s="120"/>
      <c r="C129" t="s">
        <v>1561</v>
      </c>
      <c r="D129" s="57" t="s">
        <v>1561</v>
      </c>
      <c r="E129" s="57" t="s">
        <v>63</v>
      </c>
      <c r="F129" s="57">
        <v>173</v>
      </c>
      <c r="G129" s="57">
        <v>79</v>
      </c>
      <c r="H129" s="57">
        <v>45</v>
      </c>
      <c r="I129" s="57" t="s">
        <v>1197</v>
      </c>
      <c r="J129" s="57" t="s">
        <v>1170</v>
      </c>
      <c r="K129" s="57" t="s">
        <v>1562</v>
      </c>
      <c r="L129" s="57" t="s">
        <v>1172</v>
      </c>
      <c r="M129" s="57"/>
      <c r="N129" s="57" t="s">
        <v>1172</v>
      </c>
      <c r="O129" s="57"/>
      <c r="P129" s="112">
        <v>0</v>
      </c>
      <c r="Q129" s="57" t="s">
        <v>1175</v>
      </c>
      <c r="R129" s="57" t="s">
        <v>1172</v>
      </c>
      <c r="S129" s="57"/>
      <c r="T129" s="57"/>
      <c r="U129" s="57"/>
      <c r="V129" s="57"/>
      <c r="W129" s="57" t="s">
        <v>1174</v>
      </c>
      <c r="X129" s="57" t="s">
        <v>1172</v>
      </c>
      <c r="Y129" s="57"/>
      <c r="Z129" s="112" t="s">
        <v>1185</v>
      </c>
      <c r="AA129" s="57" t="s">
        <v>1172</v>
      </c>
    </row>
    <row r="130" spans="1:27">
      <c r="A130" s="45" t="s">
        <v>690</v>
      </c>
      <c r="B130" s="120"/>
      <c r="C130" t="s">
        <v>1563</v>
      </c>
      <c r="D130" s="57" t="s">
        <v>1563</v>
      </c>
      <c r="E130" s="57" t="s">
        <v>63</v>
      </c>
      <c r="F130" s="57">
        <v>172</v>
      </c>
      <c r="G130" s="57">
        <v>71</v>
      </c>
      <c r="H130" s="57">
        <v>53</v>
      </c>
      <c r="I130" s="57" t="s">
        <v>1555</v>
      </c>
      <c r="J130" s="57" t="s">
        <v>1170</v>
      </c>
      <c r="K130" s="57" t="s">
        <v>1564</v>
      </c>
      <c r="L130" s="57" t="s">
        <v>1172</v>
      </c>
      <c r="M130" s="57"/>
      <c r="N130" s="57" t="s">
        <v>1172</v>
      </c>
      <c r="O130" s="57"/>
      <c r="P130" s="112">
        <v>0</v>
      </c>
      <c r="Q130" s="57" t="s">
        <v>1238</v>
      </c>
      <c r="R130" s="57" t="s">
        <v>578</v>
      </c>
      <c r="S130" s="57">
        <v>2</v>
      </c>
      <c r="T130" s="57">
        <v>0</v>
      </c>
      <c r="U130" s="57"/>
      <c r="V130" s="57"/>
      <c r="W130" s="57" t="s">
        <v>1276</v>
      </c>
      <c r="X130" s="57" t="s">
        <v>1172</v>
      </c>
      <c r="Y130" s="57"/>
      <c r="Z130" s="112" t="s">
        <v>1201</v>
      </c>
      <c r="AA130" s="57" t="s">
        <v>1172</v>
      </c>
    </row>
    <row r="131" spans="1:27">
      <c r="A131" s="45" t="s">
        <v>701</v>
      </c>
      <c r="B131" s="120"/>
      <c r="C131" t="s">
        <v>1565</v>
      </c>
      <c r="D131" s="57" t="s">
        <v>1566</v>
      </c>
      <c r="E131" s="57" t="s">
        <v>85</v>
      </c>
      <c r="F131" s="57">
        <v>164</v>
      </c>
      <c r="G131" s="57">
        <v>61</v>
      </c>
      <c r="H131" s="57">
        <v>43</v>
      </c>
      <c r="I131" s="57" t="s">
        <v>1228</v>
      </c>
      <c r="J131" s="57" t="s">
        <v>1170</v>
      </c>
      <c r="K131" s="57" t="s">
        <v>1261</v>
      </c>
      <c r="L131" s="57" t="s">
        <v>1172</v>
      </c>
      <c r="M131" s="57"/>
      <c r="N131" s="57" t="s">
        <v>1172</v>
      </c>
      <c r="O131" s="57"/>
      <c r="P131" s="112" t="s">
        <v>1174</v>
      </c>
      <c r="Q131" s="57" t="s">
        <v>1175</v>
      </c>
      <c r="R131" s="57" t="s">
        <v>1172</v>
      </c>
      <c r="S131" s="57"/>
      <c r="T131" s="57"/>
      <c r="U131" s="57"/>
      <c r="V131" s="57"/>
      <c r="W131" s="57" t="s">
        <v>1174</v>
      </c>
      <c r="X131" s="57" t="s">
        <v>1172</v>
      </c>
      <c r="Y131" s="57"/>
      <c r="Z131" s="112" t="s">
        <v>1201</v>
      </c>
      <c r="AA131" s="57" t="s">
        <v>1172</v>
      </c>
    </row>
    <row r="132" spans="1:27">
      <c r="A132" s="45" t="s">
        <v>706</v>
      </c>
      <c r="B132" s="120"/>
      <c r="C132" t="s">
        <v>1567</v>
      </c>
      <c r="D132" s="57" t="s">
        <v>1568</v>
      </c>
      <c r="E132" s="57" t="s">
        <v>85</v>
      </c>
      <c r="F132" s="57">
        <v>165</v>
      </c>
      <c r="G132" s="57">
        <v>55</v>
      </c>
      <c r="H132" s="57">
        <v>49</v>
      </c>
      <c r="I132" s="57" t="s">
        <v>1197</v>
      </c>
      <c r="J132" s="57" t="s">
        <v>1170</v>
      </c>
      <c r="K132" s="57" t="s">
        <v>1256</v>
      </c>
      <c r="L132" s="57" t="s">
        <v>578</v>
      </c>
      <c r="M132" s="57" t="s">
        <v>1569</v>
      </c>
      <c r="N132" s="57" t="s">
        <v>1172</v>
      </c>
      <c r="O132" s="57"/>
      <c r="P132" s="112" t="s">
        <v>1199</v>
      </c>
      <c r="Q132" s="57" t="s">
        <v>1175</v>
      </c>
      <c r="R132" s="57" t="s">
        <v>1172</v>
      </c>
      <c r="S132" s="57"/>
      <c r="T132" s="57"/>
      <c r="U132" s="57"/>
      <c r="V132" s="57"/>
      <c r="W132" s="57" t="s">
        <v>1174</v>
      </c>
      <c r="X132" s="57" t="s">
        <v>1172</v>
      </c>
      <c r="Y132" s="57"/>
      <c r="Z132" s="112" t="s">
        <v>1201</v>
      </c>
      <c r="AA132" s="57" t="s">
        <v>1172</v>
      </c>
    </row>
    <row r="133" spans="1:27">
      <c r="A133" s="45" t="s">
        <v>714</v>
      </c>
      <c r="B133" s="120"/>
      <c r="C133" t="s">
        <v>1570</v>
      </c>
      <c r="D133" s="57" t="s">
        <v>1571</v>
      </c>
      <c r="E133" s="57" t="s">
        <v>85</v>
      </c>
      <c r="F133" s="57">
        <v>164.5</v>
      </c>
      <c r="G133" s="57">
        <v>63</v>
      </c>
      <c r="H133" s="57">
        <v>51</v>
      </c>
      <c r="I133" s="57" t="s">
        <v>1197</v>
      </c>
      <c r="J133" s="57" t="s">
        <v>1170</v>
      </c>
      <c r="K133" s="57" t="s">
        <v>1256</v>
      </c>
      <c r="L133" s="57" t="s">
        <v>1172</v>
      </c>
      <c r="M133" s="57"/>
      <c r="N133" s="57" t="s">
        <v>1172</v>
      </c>
      <c r="O133" s="57"/>
      <c r="P133" s="112" t="s">
        <v>1174</v>
      </c>
      <c r="Q133" s="57" t="s">
        <v>1175</v>
      </c>
      <c r="R133" s="57" t="s">
        <v>1172</v>
      </c>
      <c r="S133" s="57"/>
      <c r="T133" s="57"/>
      <c r="U133" s="57"/>
      <c r="V133" s="57"/>
      <c r="W133" s="57">
        <v>0</v>
      </c>
      <c r="X133" s="57" t="s">
        <v>1172</v>
      </c>
      <c r="Y133" s="57"/>
      <c r="Z133" s="112" t="s">
        <v>1178</v>
      </c>
      <c r="AA133" s="57" t="s">
        <v>1172</v>
      </c>
    </row>
    <row r="134" spans="1:27">
      <c r="A134" s="45" t="s">
        <v>722</v>
      </c>
      <c r="B134" s="120"/>
      <c r="C134" t="s">
        <v>1572</v>
      </c>
      <c r="D134" s="57" t="s">
        <v>1572</v>
      </c>
      <c r="E134" s="57" t="s">
        <v>85</v>
      </c>
      <c r="F134" s="57">
        <v>150</v>
      </c>
      <c r="G134" s="57">
        <v>52</v>
      </c>
      <c r="H134" s="57">
        <v>53</v>
      </c>
      <c r="I134" s="57" t="s">
        <v>1197</v>
      </c>
      <c r="J134" s="57" t="s">
        <v>1170</v>
      </c>
      <c r="K134" s="57" t="s">
        <v>1192</v>
      </c>
      <c r="L134" s="57" t="s">
        <v>1172</v>
      </c>
      <c r="M134" s="57"/>
      <c r="N134" s="57" t="s">
        <v>1172</v>
      </c>
      <c r="O134" s="57"/>
      <c r="P134" s="112">
        <v>0</v>
      </c>
      <c r="Q134" s="57" t="s">
        <v>1175</v>
      </c>
      <c r="R134" s="57" t="s">
        <v>1172</v>
      </c>
      <c r="S134" s="57"/>
      <c r="T134" s="57"/>
      <c r="U134" s="57"/>
      <c r="V134" s="57"/>
      <c r="W134" s="57" t="s">
        <v>1174</v>
      </c>
      <c r="X134" s="57" t="s">
        <v>578</v>
      </c>
      <c r="Y134" s="57" t="s">
        <v>1573</v>
      </c>
      <c r="Z134" s="112" t="s">
        <v>1201</v>
      </c>
      <c r="AA134" s="57" t="s">
        <v>1172</v>
      </c>
    </row>
    <row r="135" spans="1:27">
      <c r="A135" s="45" t="s">
        <v>727</v>
      </c>
      <c r="B135" s="120"/>
      <c r="C135" t="s">
        <v>1574</v>
      </c>
      <c r="D135" s="57" t="s">
        <v>1575</v>
      </c>
      <c r="E135" s="57" t="s">
        <v>85</v>
      </c>
      <c r="F135" s="57">
        <v>154</v>
      </c>
      <c r="G135" s="57">
        <v>59</v>
      </c>
      <c r="H135" s="57">
        <v>66</v>
      </c>
      <c r="I135" s="57" t="s">
        <v>1309</v>
      </c>
      <c r="J135" s="57" t="s">
        <v>1170</v>
      </c>
      <c r="K135" s="57" t="s">
        <v>1237</v>
      </c>
      <c r="L135" s="57" t="s">
        <v>1172</v>
      </c>
      <c r="M135" s="57"/>
      <c r="N135" s="57" t="s">
        <v>1172</v>
      </c>
      <c r="O135" s="57"/>
      <c r="P135" s="112" t="s">
        <v>1199</v>
      </c>
      <c r="Q135" s="57" t="s">
        <v>1175</v>
      </c>
      <c r="R135" s="57" t="s">
        <v>578</v>
      </c>
      <c r="S135" s="57"/>
      <c r="T135" s="57">
        <v>0</v>
      </c>
      <c r="U135" s="57"/>
      <c r="V135" s="57"/>
      <c r="W135" s="57" t="s">
        <v>1174</v>
      </c>
      <c r="X135" s="57" t="s">
        <v>1172</v>
      </c>
      <c r="Y135" s="57"/>
      <c r="Z135" s="112" t="s">
        <v>1201</v>
      </c>
      <c r="AA135" s="57" t="s">
        <v>1172</v>
      </c>
    </row>
    <row r="136" spans="1:27">
      <c r="A136" s="45" t="s">
        <v>733</v>
      </c>
      <c r="B136" s="120"/>
      <c r="C136" t="s">
        <v>1576</v>
      </c>
      <c r="D136" s="57" t="s">
        <v>1576</v>
      </c>
      <c r="E136" s="57" t="s">
        <v>63</v>
      </c>
      <c r="F136" s="57">
        <v>177</v>
      </c>
      <c r="G136" s="57">
        <v>77</v>
      </c>
      <c r="H136" s="57">
        <v>42</v>
      </c>
      <c r="I136" s="57" t="s">
        <v>1197</v>
      </c>
      <c r="J136" s="57" t="s">
        <v>1170</v>
      </c>
      <c r="K136" s="57" t="s">
        <v>1192</v>
      </c>
      <c r="L136" s="57" t="s">
        <v>1172</v>
      </c>
      <c r="M136" s="57"/>
      <c r="N136" s="57" t="s">
        <v>1172</v>
      </c>
      <c r="O136" s="57"/>
      <c r="P136" s="112" t="s">
        <v>1174</v>
      </c>
      <c r="Q136" s="57" t="s">
        <v>1175</v>
      </c>
      <c r="R136" s="57" t="s">
        <v>1172</v>
      </c>
      <c r="S136" s="57"/>
      <c r="T136" s="57"/>
      <c r="U136" s="57"/>
      <c r="V136" s="57"/>
      <c r="W136" s="57">
        <v>0</v>
      </c>
      <c r="X136" s="57" t="s">
        <v>578</v>
      </c>
      <c r="Y136" s="57" t="s">
        <v>1577</v>
      </c>
      <c r="Z136" s="112" t="s">
        <v>1207</v>
      </c>
      <c r="AA136" s="57" t="s">
        <v>578</v>
      </c>
    </row>
    <row r="137" spans="1:27">
      <c r="A137" s="45" t="s">
        <v>740</v>
      </c>
      <c r="B137" s="120"/>
      <c r="C137" t="s">
        <v>1578</v>
      </c>
      <c r="D137" s="57" t="s">
        <v>1578</v>
      </c>
      <c r="E137" s="57" t="s">
        <v>63</v>
      </c>
      <c r="F137" s="57">
        <v>1.73</v>
      </c>
      <c r="G137" s="57">
        <v>68</v>
      </c>
      <c r="H137" s="57">
        <v>43</v>
      </c>
      <c r="I137" s="57" t="s">
        <v>1228</v>
      </c>
      <c r="J137" s="57" t="s">
        <v>1170</v>
      </c>
      <c r="K137" s="57" t="s">
        <v>1184</v>
      </c>
      <c r="L137" s="57" t="s">
        <v>1172</v>
      </c>
      <c r="M137" s="57"/>
      <c r="N137" s="57" t="s">
        <v>578</v>
      </c>
      <c r="O137" s="57" t="s">
        <v>1579</v>
      </c>
      <c r="P137" s="112" t="s">
        <v>1199</v>
      </c>
      <c r="Q137" s="57" t="s">
        <v>1175</v>
      </c>
      <c r="R137" s="57" t="s">
        <v>1172</v>
      </c>
      <c r="S137" s="57"/>
      <c r="T137" s="57"/>
      <c r="U137" s="57"/>
      <c r="V137" s="57"/>
      <c r="W137" s="57" t="s">
        <v>1174</v>
      </c>
      <c r="X137" s="57" t="s">
        <v>578</v>
      </c>
      <c r="Y137" s="57" t="s">
        <v>1580</v>
      </c>
      <c r="Z137" s="112" t="s">
        <v>1185</v>
      </c>
      <c r="AA137" s="57" t="s">
        <v>1172</v>
      </c>
    </row>
    <row r="138" spans="1:27">
      <c r="A138" s="45" t="s">
        <v>751</v>
      </c>
      <c r="B138" s="120"/>
      <c r="C138" t="s">
        <v>1581</v>
      </c>
      <c r="D138" s="57" t="s">
        <v>1581</v>
      </c>
      <c r="E138" s="57" t="s">
        <v>63</v>
      </c>
      <c r="F138" s="57">
        <v>167</v>
      </c>
      <c r="G138" s="57">
        <v>67</v>
      </c>
      <c r="H138" s="57">
        <v>65</v>
      </c>
      <c r="I138" s="57" t="s">
        <v>1543</v>
      </c>
      <c r="J138" s="57" t="s">
        <v>1170</v>
      </c>
      <c r="K138" s="57" t="s">
        <v>1293</v>
      </c>
      <c r="L138" s="57" t="s">
        <v>1172</v>
      </c>
      <c r="M138" s="57"/>
      <c r="N138" s="57" t="s">
        <v>1172</v>
      </c>
      <c r="O138" s="57"/>
      <c r="P138" s="112" t="s">
        <v>1174</v>
      </c>
      <c r="Q138" s="57" t="s">
        <v>1175</v>
      </c>
      <c r="R138" s="57" t="s">
        <v>578</v>
      </c>
      <c r="S138" s="57" t="s">
        <v>1582</v>
      </c>
      <c r="T138" s="57">
        <v>0</v>
      </c>
      <c r="U138" s="57"/>
      <c r="V138" s="57"/>
      <c r="W138" s="57" t="s">
        <v>1174</v>
      </c>
      <c r="X138" s="57" t="s">
        <v>1172</v>
      </c>
      <c r="Y138" s="57"/>
      <c r="Z138" s="112" t="s">
        <v>1201</v>
      </c>
      <c r="AA138" s="57" t="s">
        <v>1172</v>
      </c>
    </row>
    <row r="139" spans="1:27">
      <c r="A139" s="45" t="s">
        <v>754</v>
      </c>
      <c r="B139" s="120"/>
      <c r="C139" t="s">
        <v>1583</v>
      </c>
      <c r="D139" s="57" t="s">
        <v>1583</v>
      </c>
      <c r="E139" s="57" t="s">
        <v>85</v>
      </c>
      <c r="F139" s="57">
        <v>1.61</v>
      </c>
      <c r="G139" s="57">
        <v>53.5</v>
      </c>
      <c r="H139" s="57">
        <v>62</v>
      </c>
      <c r="I139" s="57" t="s">
        <v>1191</v>
      </c>
      <c r="J139" s="57" t="s">
        <v>1170</v>
      </c>
      <c r="K139" s="57" t="s">
        <v>1584</v>
      </c>
      <c r="L139" s="57" t="s">
        <v>1172</v>
      </c>
      <c r="M139" s="57"/>
      <c r="N139" s="57" t="s">
        <v>1172</v>
      </c>
      <c r="O139" s="57"/>
      <c r="P139" s="112" t="s">
        <v>1174</v>
      </c>
      <c r="Q139" s="57" t="s">
        <v>1175</v>
      </c>
      <c r="R139" s="57" t="s">
        <v>1172</v>
      </c>
      <c r="S139" s="57"/>
      <c r="T139" s="57"/>
      <c r="U139" s="57"/>
      <c r="V139" s="57"/>
      <c r="W139" s="57" t="s">
        <v>1174</v>
      </c>
      <c r="X139" s="57" t="s">
        <v>1172</v>
      </c>
      <c r="Y139" s="57"/>
      <c r="Z139" s="112" t="s">
        <v>1185</v>
      </c>
      <c r="AA139" s="57" t="s">
        <v>1172</v>
      </c>
    </row>
    <row r="140" spans="1:27">
      <c r="A140" s="45" t="s">
        <v>755</v>
      </c>
      <c r="B140" s="120"/>
      <c r="C140" t="s">
        <v>1585</v>
      </c>
      <c r="D140" s="57" t="s">
        <v>1585</v>
      </c>
      <c r="E140" s="57" t="s">
        <v>85</v>
      </c>
      <c r="F140" s="57">
        <v>152</v>
      </c>
      <c r="G140" s="57">
        <v>63</v>
      </c>
      <c r="H140" s="57">
        <v>67</v>
      </c>
      <c r="I140" s="57" t="s">
        <v>1543</v>
      </c>
      <c r="J140" s="57" t="s">
        <v>1170</v>
      </c>
      <c r="K140" s="57" t="s">
        <v>1586</v>
      </c>
      <c r="L140" s="57" t="s">
        <v>1172</v>
      </c>
      <c r="M140" s="57"/>
      <c r="N140" s="57" t="s">
        <v>1172</v>
      </c>
      <c r="O140" s="57"/>
      <c r="P140" s="112" t="s">
        <v>1174</v>
      </c>
      <c r="Q140" s="57" t="s">
        <v>1175</v>
      </c>
      <c r="R140" s="57" t="s">
        <v>1172</v>
      </c>
      <c r="S140" s="57"/>
      <c r="T140" s="57"/>
      <c r="U140" s="57"/>
      <c r="V140" s="57"/>
      <c r="W140" s="57" t="s">
        <v>1174</v>
      </c>
      <c r="X140" s="57" t="s">
        <v>1172</v>
      </c>
      <c r="Y140" s="57"/>
      <c r="Z140" s="112" t="s">
        <v>1201</v>
      </c>
      <c r="AA140" s="57" t="s">
        <v>1172</v>
      </c>
    </row>
    <row r="141" spans="1:27">
      <c r="A141" s="45" t="s">
        <v>777</v>
      </c>
      <c r="B141" s="120"/>
      <c r="C141" t="s">
        <v>1587</v>
      </c>
      <c r="D141" s="57" t="s">
        <v>1588</v>
      </c>
      <c r="E141" s="57" t="s">
        <v>63</v>
      </c>
      <c r="F141" s="57">
        <v>172</v>
      </c>
      <c r="G141" s="57">
        <v>80</v>
      </c>
      <c r="H141" s="57">
        <v>56</v>
      </c>
      <c r="I141" s="57" t="s">
        <v>1228</v>
      </c>
      <c r="J141" s="57" t="s">
        <v>1170</v>
      </c>
      <c r="K141" s="57" t="s">
        <v>1589</v>
      </c>
      <c r="L141" s="57" t="s">
        <v>1172</v>
      </c>
      <c r="M141" s="57"/>
      <c r="N141" s="57" t="s">
        <v>1172</v>
      </c>
      <c r="O141" s="57"/>
      <c r="P141" s="112" t="s">
        <v>1174</v>
      </c>
      <c r="Q141" s="57" t="s">
        <v>1175</v>
      </c>
      <c r="R141" s="57" t="s">
        <v>578</v>
      </c>
      <c r="S141" s="57">
        <v>2</v>
      </c>
      <c r="T141" s="57">
        <v>0</v>
      </c>
      <c r="U141" s="57"/>
      <c r="V141" s="57"/>
      <c r="W141" s="57" t="s">
        <v>1174</v>
      </c>
      <c r="X141" s="57" t="s">
        <v>578</v>
      </c>
      <c r="Y141" s="57" t="s">
        <v>1590</v>
      </c>
      <c r="Z141" s="112" t="s">
        <v>1185</v>
      </c>
      <c r="AA141" s="57" t="s">
        <v>1172</v>
      </c>
    </row>
    <row r="142" spans="1:27">
      <c r="A142" s="45" t="s">
        <v>785</v>
      </c>
      <c r="B142" s="120"/>
      <c r="C142" t="s">
        <v>1591</v>
      </c>
      <c r="D142" s="57" t="s">
        <v>1592</v>
      </c>
      <c r="E142" s="57" t="s">
        <v>63</v>
      </c>
      <c r="F142" s="57">
        <v>180</v>
      </c>
      <c r="G142" s="57">
        <v>82</v>
      </c>
      <c r="H142" s="57">
        <v>42</v>
      </c>
      <c r="I142" s="57" t="s">
        <v>1183</v>
      </c>
      <c r="J142" s="57" t="s">
        <v>1183</v>
      </c>
      <c r="K142" s="57" t="s">
        <v>1261</v>
      </c>
      <c r="L142" s="57" t="s">
        <v>1172</v>
      </c>
      <c r="M142" s="57"/>
      <c r="N142" s="57" t="s">
        <v>1172</v>
      </c>
      <c r="O142" s="57"/>
      <c r="P142" s="112" t="s">
        <v>1199</v>
      </c>
      <c r="Q142" s="57" t="s">
        <v>1175</v>
      </c>
      <c r="R142" s="57" t="s">
        <v>578</v>
      </c>
      <c r="S142" s="57"/>
      <c r="T142" s="57">
        <v>0</v>
      </c>
      <c r="U142" s="57"/>
      <c r="V142" s="57"/>
      <c r="W142" s="57">
        <v>0</v>
      </c>
      <c r="X142" s="57" t="s">
        <v>578</v>
      </c>
      <c r="Y142" s="57" t="s">
        <v>1469</v>
      </c>
      <c r="Z142" s="112" t="s">
        <v>1185</v>
      </c>
      <c r="AA142" s="57" t="s">
        <v>578</v>
      </c>
    </row>
    <row r="143" spans="1:27">
      <c r="A143" s="45" t="s">
        <v>798</v>
      </c>
      <c r="B143" s="120"/>
      <c r="C143" t="s">
        <v>1593</v>
      </c>
      <c r="D143" s="57" t="s">
        <v>1594</v>
      </c>
      <c r="E143" s="57" t="s">
        <v>63</v>
      </c>
      <c r="F143" s="57">
        <v>168</v>
      </c>
      <c r="G143" s="57">
        <v>66</v>
      </c>
      <c r="H143" s="57">
        <v>46</v>
      </c>
      <c r="I143" s="57" t="s">
        <v>1197</v>
      </c>
      <c r="J143" s="57" t="s">
        <v>1170</v>
      </c>
      <c r="K143" s="57" t="s">
        <v>1595</v>
      </c>
      <c r="L143" s="57" t="s">
        <v>1172</v>
      </c>
      <c r="M143" s="57"/>
      <c r="N143" s="57" t="s">
        <v>1172</v>
      </c>
      <c r="O143" s="57"/>
      <c r="P143" s="112" t="s">
        <v>1174</v>
      </c>
      <c r="Q143" s="57" t="s">
        <v>1175</v>
      </c>
      <c r="R143" s="57" t="s">
        <v>1172</v>
      </c>
      <c r="S143" s="57"/>
      <c r="T143" s="57"/>
      <c r="U143" s="57"/>
      <c r="V143" s="57"/>
      <c r="W143" s="57" t="s">
        <v>1174</v>
      </c>
      <c r="X143" s="57" t="s">
        <v>1172</v>
      </c>
      <c r="Y143" s="57"/>
      <c r="Z143" s="112" t="s">
        <v>1178</v>
      </c>
      <c r="AA143" s="57" t="s">
        <v>1172</v>
      </c>
    </row>
    <row r="144" spans="1:27">
      <c r="A144" s="45" t="s">
        <v>801</v>
      </c>
      <c r="B144" s="120"/>
      <c r="C144" t="s">
        <v>1596</v>
      </c>
      <c r="D144" s="57" t="s">
        <v>1596</v>
      </c>
      <c r="E144" s="57" t="s">
        <v>63</v>
      </c>
      <c r="F144" s="57">
        <v>177</v>
      </c>
      <c r="G144" s="57">
        <v>60</v>
      </c>
      <c r="H144" s="57">
        <v>52</v>
      </c>
      <c r="I144" s="57" t="s">
        <v>1228</v>
      </c>
      <c r="J144" s="57" t="s">
        <v>1170</v>
      </c>
      <c r="K144" s="57" t="s">
        <v>1373</v>
      </c>
      <c r="L144" s="57" t="s">
        <v>1172</v>
      </c>
      <c r="M144" s="57"/>
      <c r="N144" s="57" t="s">
        <v>1172</v>
      </c>
      <c r="O144" s="57"/>
      <c r="P144" s="112">
        <v>0</v>
      </c>
      <c r="Q144" s="57" t="s">
        <v>1175</v>
      </c>
      <c r="R144" s="57" t="s">
        <v>578</v>
      </c>
      <c r="S144" s="57">
        <v>1</v>
      </c>
      <c r="T144" s="57">
        <v>0</v>
      </c>
      <c r="U144" s="57"/>
      <c r="V144" s="57"/>
      <c r="W144" s="57">
        <v>0</v>
      </c>
      <c r="X144" s="57" t="s">
        <v>1172</v>
      </c>
      <c r="Y144" s="57"/>
      <c r="Z144" s="112" t="s">
        <v>1207</v>
      </c>
      <c r="AA144" s="57" t="s">
        <v>1172</v>
      </c>
    </row>
    <row r="145" spans="1:38">
      <c r="A145" s="45" t="s">
        <v>805</v>
      </c>
      <c r="B145" s="120"/>
      <c r="C145" t="s">
        <v>1597</v>
      </c>
      <c r="D145" s="57" t="s">
        <v>1597</v>
      </c>
      <c r="E145" s="57" t="s">
        <v>85</v>
      </c>
      <c r="F145" s="57">
        <v>157</v>
      </c>
      <c r="G145" s="57">
        <v>51.6</v>
      </c>
      <c r="H145" s="57">
        <v>69</v>
      </c>
      <c r="I145" s="57" t="s">
        <v>1197</v>
      </c>
      <c r="J145" s="57" t="s">
        <v>1170</v>
      </c>
      <c r="K145" s="57" t="s">
        <v>1598</v>
      </c>
      <c r="L145" s="57" t="s">
        <v>1172</v>
      </c>
      <c r="M145" s="57"/>
      <c r="N145" s="57" t="s">
        <v>1172</v>
      </c>
      <c r="O145" s="57"/>
      <c r="P145" s="112" t="s">
        <v>1174</v>
      </c>
      <c r="Q145" s="57" t="s">
        <v>1175</v>
      </c>
      <c r="R145" s="57" t="s">
        <v>1172</v>
      </c>
      <c r="S145" s="57"/>
      <c r="T145" s="57"/>
      <c r="U145" s="57"/>
      <c r="V145" s="57"/>
      <c r="W145" s="57" t="s">
        <v>1174</v>
      </c>
      <c r="X145" s="57" t="s">
        <v>1172</v>
      </c>
      <c r="Y145" s="57"/>
      <c r="Z145" s="112" t="s">
        <v>1185</v>
      </c>
      <c r="AA145" s="57" t="s">
        <v>1172</v>
      </c>
    </row>
    <row r="146" spans="1:38">
      <c r="A146" s="45" t="s">
        <v>816</v>
      </c>
      <c r="B146" s="120"/>
      <c r="C146" t="s">
        <v>1599</v>
      </c>
      <c r="D146" s="57" t="s">
        <v>1600</v>
      </c>
      <c r="E146" s="57" t="s">
        <v>85</v>
      </c>
      <c r="F146" s="57">
        <v>159</v>
      </c>
      <c r="G146" s="57">
        <v>64</v>
      </c>
      <c r="H146" s="57">
        <v>62</v>
      </c>
      <c r="I146" s="57" t="s">
        <v>1232</v>
      </c>
      <c r="J146" s="57" t="s">
        <v>1170</v>
      </c>
      <c r="K146" s="57" t="s">
        <v>1601</v>
      </c>
      <c r="L146" s="57" t="s">
        <v>1172</v>
      </c>
      <c r="M146" s="57"/>
      <c r="N146" s="57" t="s">
        <v>1172</v>
      </c>
      <c r="O146" s="57"/>
      <c r="P146" s="112" t="s">
        <v>1174</v>
      </c>
      <c r="Q146" s="57" t="s">
        <v>1175</v>
      </c>
      <c r="R146" s="57" t="s">
        <v>578</v>
      </c>
      <c r="S146" s="57"/>
      <c r="T146" s="57">
        <v>0</v>
      </c>
      <c r="U146" s="57"/>
      <c r="V146" s="57"/>
      <c r="W146" s="57" t="s">
        <v>1174</v>
      </c>
      <c r="X146" s="57" t="s">
        <v>1172</v>
      </c>
      <c r="Y146" s="57"/>
      <c r="Z146" s="112" t="s">
        <v>1185</v>
      </c>
      <c r="AA146" s="57" t="s">
        <v>578</v>
      </c>
    </row>
    <row r="147" spans="1:38">
      <c r="A147" s="45" t="s">
        <v>818</v>
      </c>
      <c r="B147" s="120"/>
      <c r="C147" t="s">
        <v>1602</v>
      </c>
      <c r="D147" s="57" t="s">
        <v>1603</v>
      </c>
      <c r="E147" s="57" t="s">
        <v>63</v>
      </c>
      <c r="F147" s="57">
        <v>174</v>
      </c>
      <c r="G147" s="57">
        <v>60</v>
      </c>
      <c r="H147" s="57">
        <v>58</v>
      </c>
      <c r="I147" s="57" t="s">
        <v>1228</v>
      </c>
      <c r="J147" s="57" t="s">
        <v>1170</v>
      </c>
      <c r="K147" s="57" t="s">
        <v>1261</v>
      </c>
      <c r="L147" s="57" t="s">
        <v>1172</v>
      </c>
      <c r="M147" s="57"/>
      <c r="N147" s="57" t="s">
        <v>1172</v>
      </c>
      <c r="O147" s="57"/>
      <c r="P147" s="112" t="s">
        <v>1174</v>
      </c>
      <c r="Q147" s="57" t="s">
        <v>1175</v>
      </c>
      <c r="R147" s="57" t="s">
        <v>578</v>
      </c>
      <c r="S147" s="57">
        <v>1</v>
      </c>
      <c r="T147" s="57">
        <v>0</v>
      </c>
      <c r="U147" s="57"/>
      <c r="V147" s="57"/>
      <c r="W147" s="57">
        <v>0</v>
      </c>
      <c r="X147" s="57" t="s">
        <v>1172</v>
      </c>
      <c r="Y147" s="57"/>
      <c r="Z147" s="112" t="s">
        <v>1201</v>
      </c>
      <c r="AA147" s="57" t="s">
        <v>1172</v>
      </c>
      <c r="AJ147" s="39" t="s">
        <v>1604</v>
      </c>
      <c r="AL147">
        <v>72</v>
      </c>
    </row>
    <row r="148" spans="1:38" ht="30">
      <c r="A148" s="45" t="s">
        <v>825</v>
      </c>
      <c r="B148" s="120"/>
      <c r="C148" t="s">
        <v>1605</v>
      </c>
      <c r="D148" s="57" t="s">
        <v>1605</v>
      </c>
      <c r="E148" s="57" t="s">
        <v>63</v>
      </c>
      <c r="F148" s="92">
        <v>168</v>
      </c>
      <c r="G148" s="57">
        <v>72</v>
      </c>
      <c r="H148" s="57">
        <v>68</v>
      </c>
      <c r="I148" s="57" t="s">
        <v>1197</v>
      </c>
      <c r="J148" s="57" t="s">
        <v>1170</v>
      </c>
      <c r="K148" s="57" t="s">
        <v>1606</v>
      </c>
      <c r="L148" s="57" t="s">
        <v>1172</v>
      </c>
      <c r="M148" s="57"/>
      <c r="N148" s="57" t="s">
        <v>1172</v>
      </c>
      <c r="O148" s="57"/>
      <c r="P148" s="112" t="s">
        <v>1174</v>
      </c>
      <c r="Q148" s="57" t="s">
        <v>1175</v>
      </c>
      <c r="R148" s="57" t="s">
        <v>578</v>
      </c>
      <c r="S148" s="57" t="s">
        <v>1252</v>
      </c>
      <c r="T148" s="57">
        <v>0</v>
      </c>
      <c r="U148" s="57"/>
      <c r="V148" s="57"/>
      <c r="W148" s="57">
        <v>0</v>
      </c>
      <c r="X148" s="57" t="s">
        <v>1172</v>
      </c>
      <c r="Y148" s="57"/>
      <c r="Z148" s="112" t="s">
        <v>1185</v>
      </c>
      <c r="AA148" s="57" t="s">
        <v>1172</v>
      </c>
      <c r="AJ148" s="81" t="s">
        <v>1307</v>
      </c>
      <c r="AL148">
        <v>71</v>
      </c>
    </row>
    <row r="149" spans="1:38">
      <c r="A149" s="45" t="s">
        <v>829</v>
      </c>
      <c r="B149" s="120"/>
      <c r="C149" t="s">
        <v>1607</v>
      </c>
      <c r="D149" s="57" t="s">
        <v>1607</v>
      </c>
      <c r="E149" s="57" t="s">
        <v>63</v>
      </c>
      <c r="F149" s="92">
        <v>172</v>
      </c>
      <c r="G149" s="57" t="s">
        <v>1608</v>
      </c>
      <c r="H149" s="57">
        <v>62</v>
      </c>
      <c r="I149" s="57" t="s">
        <v>1197</v>
      </c>
      <c r="J149" s="57" t="s">
        <v>1170</v>
      </c>
      <c r="K149" s="57" t="s">
        <v>1609</v>
      </c>
      <c r="L149" s="57" t="s">
        <v>1172</v>
      </c>
      <c r="M149" s="57"/>
      <c r="N149" s="57" t="s">
        <v>1172</v>
      </c>
      <c r="O149" s="57"/>
      <c r="P149" s="112" t="s">
        <v>1276</v>
      </c>
      <c r="Q149" s="57" t="s">
        <v>1175</v>
      </c>
      <c r="R149" s="57" t="s">
        <v>1172</v>
      </c>
      <c r="S149" s="57"/>
      <c r="T149" s="57"/>
      <c r="U149" s="57"/>
      <c r="V149" s="57"/>
      <c r="W149" s="57" t="s">
        <v>1174</v>
      </c>
      <c r="X149" s="57" t="s">
        <v>1172</v>
      </c>
      <c r="Y149" s="57"/>
      <c r="Z149" s="112" t="s">
        <v>1201</v>
      </c>
      <c r="AA149" s="57" t="s">
        <v>1172</v>
      </c>
      <c r="AJ149" s="78" t="s">
        <v>1310</v>
      </c>
      <c r="AL149">
        <v>70</v>
      </c>
    </row>
    <row r="150" spans="1:38" ht="30">
      <c r="A150" s="45" t="s">
        <v>832</v>
      </c>
      <c r="B150" s="120"/>
      <c r="C150" t="s">
        <v>1610</v>
      </c>
      <c r="D150" s="57" t="s">
        <v>1610</v>
      </c>
      <c r="E150" s="57" t="s">
        <v>85</v>
      </c>
      <c r="F150" s="92">
        <v>159</v>
      </c>
      <c r="G150" s="57" t="s">
        <v>1611</v>
      </c>
      <c r="H150" s="57">
        <v>61</v>
      </c>
      <c r="I150" s="57" t="s">
        <v>1228</v>
      </c>
      <c r="J150" s="57" t="s">
        <v>1170</v>
      </c>
      <c r="K150" s="57" t="s">
        <v>1484</v>
      </c>
      <c r="L150" s="57" t="s">
        <v>1172</v>
      </c>
      <c r="M150" s="57"/>
      <c r="N150" s="57" t="s">
        <v>1172</v>
      </c>
      <c r="O150" s="57"/>
      <c r="P150" s="112" t="s">
        <v>1174</v>
      </c>
      <c r="Q150" s="57" t="s">
        <v>1175</v>
      </c>
      <c r="R150" s="57" t="s">
        <v>1172</v>
      </c>
      <c r="S150" s="57"/>
      <c r="T150" s="57"/>
      <c r="U150" s="57"/>
      <c r="V150" s="57"/>
      <c r="W150" s="57" t="s">
        <v>1174</v>
      </c>
      <c r="X150" s="57" t="s">
        <v>1172</v>
      </c>
      <c r="Y150" s="57"/>
      <c r="Z150" s="112" t="s">
        <v>1201</v>
      </c>
      <c r="AA150" s="57" t="s">
        <v>1172</v>
      </c>
      <c r="AJ150" s="79" t="s">
        <v>1612</v>
      </c>
      <c r="AL150">
        <v>69</v>
      </c>
    </row>
    <row r="151" spans="1:38">
      <c r="A151" s="45" t="s">
        <v>840</v>
      </c>
      <c r="B151" s="120"/>
      <c r="C151" t="s">
        <v>1613</v>
      </c>
      <c r="D151" s="57" t="s">
        <v>1613</v>
      </c>
      <c r="E151" s="57" t="s">
        <v>85</v>
      </c>
      <c r="F151" s="92">
        <v>172</v>
      </c>
      <c r="G151" s="57">
        <v>83</v>
      </c>
      <c r="H151" s="57">
        <v>58</v>
      </c>
      <c r="I151" s="57" t="s">
        <v>1197</v>
      </c>
      <c r="J151" s="57" t="s">
        <v>1170</v>
      </c>
      <c r="K151" s="57" t="s">
        <v>1302</v>
      </c>
      <c r="L151" s="57" t="s">
        <v>1172</v>
      </c>
      <c r="M151" s="57"/>
      <c r="N151" s="57" t="s">
        <v>1172</v>
      </c>
      <c r="O151" s="57"/>
      <c r="P151" s="112" t="s">
        <v>1174</v>
      </c>
      <c r="Q151" s="57" t="s">
        <v>1175</v>
      </c>
      <c r="R151" s="57" t="s">
        <v>578</v>
      </c>
      <c r="S151" s="57" t="s">
        <v>1614</v>
      </c>
      <c r="T151" s="57">
        <v>0</v>
      </c>
      <c r="U151" s="57"/>
      <c r="V151" s="57"/>
      <c r="W151" s="57">
        <v>0</v>
      </c>
      <c r="X151" s="57" t="s">
        <v>578</v>
      </c>
      <c r="Y151" s="57" t="s">
        <v>1615</v>
      </c>
      <c r="Z151" s="112" t="s">
        <v>1178</v>
      </c>
      <c r="AA151" s="57" t="s">
        <v>1172</v>
      </c>
      <c r="AJ151" s="78" t="s">
        <v>1616</v>
      </c>
      <c r="AL151">
        <v>68</v>
      </c>
    </row>
    <row r="152" spans="1:38">
      <c r="A152" s="45" t="s">
        <v>843</v>
      </c>
      <c r="B152" s="120"/>
      <c r="C152" t="s">
        <v>1617</v>
      </c>
      <c r="D152" s="57" t="s">
        <v>1617</v>
      </c>
      <c r="E152" s="57" t="s">
        <v>85</v>
      </c>
      <c r="F152" s="92">
        <v>163</v>
      </c>
      <c r="G152" s="57">
        <v>55</v>
      </c>
      <c r="H152" s="57">
        <v>60</v>
      </c>
      <c r="I152" s="57" t="s">
        <v>1197</v>
      </c>
      <c r="J152" s="57" t="s">
        <v>1170</v>
      </c>
      <c r="K152" s="57" t="s">
        <v>1210</v>
      </c>
      <c r="L152" s="57" t="s">
        <v>1172</v>
      </c>
      <c r="M152" s="57"/>
      <c r="N152" s="57" t="s">
        <v>578</v>
      </c>
      <c r="O152" s="57" t="s">
        <v>1618</v>
      </c>
      <c r="P152" s="112" t="s">
        <v>1174</v>
      </c>
      <c r="Q152" s="57" t="s">
        <v>1175</v>
      </c>
      <c r="R152" s="57" t="s">
        <v>1172</v>
      </c>
      <c r="S152" s="57"/>
      <c r="T152" s="57"/>
      <c r="U152" s="57"/>
      <c r="V152" s="57"/>
      <c r="W152" s="57" t="s">
        <v>1174</v>
      </c>
      <c r="X152" s="57" t="s">
        <v>1172</v>
      </c>
      <c r="Y152" s="57"/>
      <c r="Z152" s="112" t="s">
        <v>1185</v>
      </c>
      <c r="AA152" s="57" t="s">
        <v>1172</v>
      </c>
      <c r="AJ152" s="78" t="s">
        <v>1619</v>
      </c>
      <c r="AL152">
        <v>67</v>
      </c>
    </row>
    <row r="153" spans="1:38">
      <c r="A153" s="45" t="s">
        <v>846</v>
      </c>
      <c r="B153" s="120"/>
      <c r="C153" t="s">
        <v>1620</v>
      </c>
      <c r="D153" s="57" t="s">
        <v>1621</v>
      </c>
      <c r="E153" s="57" t="s">
        <v>85</v>
      </c>
      <c r="F153" s="92">
        <v>161</v>
      </c>
      <c r="G153" s="57" t="s">
        <v>1622</v>
      </c>
      <c r="H153" s="57">
        <v>68</v>
      </c>
      <c r="I153" s="57" t="s">
        <v>1228</v>
      </c>
      <c r="J153" s="57" t="s">
        <v>1170</v>
      </c>
      <c r="K153" s="57" t="s">
        <v>1623</v>
      </c>
      <c r="L153" s="57" t="s">
        <v>1172</v>
      </c>
      <c r="M153" s="57"/>
      <c r="N153" s="57" t="s">
        <v>1172</v>
      </c>
      <c r="O153" s="57"/>
      <c r="P153" s="112" t="s">
        <v>1174</v>
      </c>
      <c r="Q153" s="57" t="s">
        <v>1175</v>
      </c>
      <c r="R153" s="57" t="s">
        <v>578</v>
      </c>
      <c r="S153" s="57"/>
      <c r="T153" s="57">
        <v>0</v>
      </c>
      <c r="U153" s="57"/>
      <c r="V153" s="57"/>
      <c r="W153" s="57" t="s">
        <v>1174</v>
      </c>
      <c r="X153" s="57" t="s">
        <v>1172</v>
      </c>
      <c r="Y153" s="57"/>
      <c r="Z153" s="112" t="s">
        <v>1185</v>
      </c>
      <c r="AA153" s="57" t="s">
        <v>578</v>
      </c>
      <c r="AJ153" s="78" t="s">
        <v>1312</v>
      </c>
      <c r="AL153">
        <v>66</v>
      </c>
    </row>
    <row r="154" spans="1:38">
      <c r="A154" s="45" t="s">
        <v>849</v>
      </c>
      <c r="B154" s="120"/>
      <c r="C154" t="s">
        <v>1624</v>
      </c>
      <c r="D154" s="57" t="s">
        <v>1625</v>
      </c>
      <c r="E154" s="57" t="s">
        <v>85</v>
      </c>
      <c r="F154" s="92">
        <v>155</v>
      </c>
      <c r="G154" s="57">
        <v>48</v>
      </c>
      <c r="H154" s="57">
        <v>60</v>
      </c>
      <c r="I154" s="57" t="s">
        <v>1228</v>
      </c>
      <c r="J154" s="57" t="s">
        <v>1170</v>
      </c>
      <c r="K154" s="57" t="s">
        <v>1192</v>
      </c>
      <c r="L154" s="57" t="s">
        <v>1172</v>
      </c>
      <c r="M154" s="57"/>
      <c r="N154" s="57" t="s">
        <v>1172</v>
      </c>
      <c r="O154" s="57"/>
      <c r="P154" s="112">
        <v>0</v>
      </c>
      <c r="Q154" s="57" t="s">
        <v>1175</v>
      </c>
      <c r="R154" s="57" t="s">
        <v>578</v>
      </c>
      <c r="S154" s="57">
        <v>1</v>
      </c>
      <c r="T154" s="57">
        <v>0</v>
      </c>
      <c r="U154" s="57"/>
      <c r="V154" s="57"/>
      <c r="W154" s="57">
        <v>0</v>
      </c>
      <c r="X154" s="57" t="s">
        <v>1172</v>
      </c>
      <c r="Y154" s="57"/>
      <c r="Z154" s="112" t="s">
        <v>1185</v>
      </c>
      <c r="AA154" s="57" t="s">
        <v>1172</v>
      </c>
      <c r="AJ154" s="78" t="s">
        <v>1626</v>
      </c>
      <c r="AL154">
        <v>65</v>
      </c>
    </row>
    <row r="155" spans="1:38">
      <c r="A155" s="45" t="s">
        <v>852</v>
      </c>
      <c r="B155" s="120"/>
      <c r="C155" t="s">
        <v>1627</v>
      </c>
      <c r="D155" s="57" t="s">
        <v>1628</v>
      </c>
      <c r="E155" s="57" t="s">
        <v>63</v>
      </c>
      <c r="F155" s="92">
        <v>174</v>
      </c>
      <c r="G155" s="57">
        <v>66</v>
      </c>
      <c r="H155" s="57">
        <v>60</v>
      </c>
      <c r="I155" s="57" t="s">
        <v>1197</v>
      </c>
      <c r="J155" s="57" t="s">
        <v>1170</v>
      </c>
      <c r="K155" s="57" t="s">
        <v>1629</v>
      </c>
      <c r="L155" s="57" t="s">
        <v>1172</v>
      </c>
      <c r="M155" s="57"/>
      <c r="N155" s="57" t="s">
        <v>1172</v>
      </c>
      <c r="O155" s="57"/>
      <c r="P155" s="112" t="s">
        <v>1276</v>
      </c>
      <c r="Q155" s="57" t="s">
        <v>1285</v>
      </c>
      <c r="R155" s="57" t="s">
        <v>578</v>
      </c>
      <c r="S155" s="57">
        <v>25</v>
      </c>
      <c r="T155" s="57">
        <v>0</v>
      </c>
      <c r="U155" s="57"/>
      <c r="V155" s="57"/>
      <c r="W155" s="57" t="s">
        <v>1276</v>
      </c>
      <c r="X155" s="57" t="s">
        <v>1172</v>
      </c>
      <c r="Y155" s="57"/>
      <c r="Z155" s="112" t="s">
        <v>1185</v>
      </c>
      <c r="AA155" s="57" t="s">
        <v>1172</v>
      </c>
      <c r="AJ155" s="39" t="s">
        <v>1630</v>
      </c>
      <c r="AL155">
        <v>64</v>
      </c>
    </row>
    <row r="156" spans="1:38">
      <c r="A156" s="45" t="s">
        <v>855</v>
      </c>
      <c r="B156" s="120"/>
      <c r="C156" t="s">
        <v>1631</v>
      </c>
      <c r="D156" s="57" t="s">
        <v>1632</v>
      </c>
      <c r="E156" s="57" t="s">
        <v>85</v>
      </c>
      <c r="F156" s="92">
        <v>162</v>
      </c>
      <c r="G156" s="57">
        <v>42</v>
      </c>
      <c r="H156" s="57">
        <v>64</v>
      </c>
      <c r="I156" s="57" t="s">
        <v>1309</v>
      </c>
      <c r="J156" s="57" t="s">
        <v>1170</v>
      </c>
      <c r="K156" s="57" t="s">
        <v>1363</v>
      </c>
      <c r="L156" s="57" t="s">
        <v>1172</v>
      </c>
      <c r="M156" s="57"/>
      <c r="N156" s="57" t="s">
        <v>578</v>
      </c>
      <c r="O156" s="57" t="s">
        <v>1618</v>
      </c>
      <c r="P156" s="112" t="s">
        <v>1174</v>
      </c>
      <c r="Q156" s="57" t="s">
        <v>1175</v>
      </c>
      <c r="R156" s="57" t="s">
        <v>1172</v>
      </c>
      <c r="S156" s="57"/>
      <c r="T156" s="57"/>
      <c r="U156" s="57"/>
      <c r="V156" s="57"/>
      <c r="W156" s="57" t="s">
        <v>1174</v>
      </c>
      <c r="X156" s="57" t="s">
        <v>1172</v>
      </c>
      <c r="Y156" s="57"/>
      <c r="Z156" s="112" t="s">
        <v>1185</v>
      </c>
      <c r="AA156" s="57" t="s">
        <v>1172</v>
      </c>
      <c r="AJ156" s="39" t="s">
        <v>1633</v>
      </c>
      <c r="AL156">
        <v>63</v>
      </c>
    </row>
    <row r="157" spans="1:38">
      <c r="A157" s="45" t="s">
        <v>858</v>
      </c>
      <c r="B157" s="120"/>
      <c r="C157" t="s">
        <v>1634</v>
      </c>
      <c r="D157" s="57" t="s">
        <v>1635</v>
      </c>
      <c r="E157" s="57" t="s">
        <v>85</v>
      </c>
      <c r="F157" s="92">
        <v>163</v>
      </c>
      <c r="G157" s="57" t="s">
        <v>1636</v>
      </c>
      <c r="H157" s="57">
        <v>65</v>
      </c>
      <c r="I157" s="57" t="s">
        <v>1197</v>
      </c>
      <c r="J157" s="57" t="s">
        <v>1170</v>
      </c>
      <c r="K157" s="57" t="s">
        <v>1237</v>
      </c>
      <c r="L157" s="57" t="s">
        <v>1172</v>
      </c>
      <c r="M157" s="57"/>
      <c r="N157" s="57" t="s">
        <v>1172</v>
      </c>
      <c r="O157" s="57"/>
      <c r="P157" s="112" t="s">
        <v>1174</v>
      </c>
      <c r="Q157" s="57" t="s">
        <v>1175</v>
      </c>
      <c r="R157" s="57" t="s">
        <v>1172</v>
      </c>
      <c r="S157" s="57"/>
      <c r="T157" s="57"/>
      <c r="U157" s="57"/>
      <c r="V157" s="57"/>
      <c r="W157" s="57" t="s">
        <v>1174</v>
      </c>
      <c r="X157" s="57" t="s">
        <v>1172</v>
      </c>
      <c r="Y157" s="57"/>
      <c r="Z157" s="112" t="s">
        <v>1201</v>
      </c>
      <c r="AA157" s="57" t="s">
        <v>1172</v>
      </c>
      <c r="AJ157" s="78" t="s">
        <v>1637</v>
      </c>
      <c r="AL157">
        <v>62</v>
      </c>
    </row>
    <row r="158" spans="1:38">
      <c r="A158" s="45" t="s">
        <v>861</v>
      </c>
      <c r="B158" s="120"/>
      <c r="C158" t="s">
        <v>1638</v>
      </c>
      <c r="D158" s="57" t="s">
        <v>1639</v>
      </c>
      <c r="E158" s="57" t="s">
        <v>63</v>
      </c>
      <c r="F158" s="92">
        <v>174</v>
      </c>
      <c r="G158" s="57">
        <v>72</v>
      </c>
      <c r="H158" s="57">
        <v>53</v>
      </c>
      <c r="I158" s="57" t="s">
        <v>1228</v>
      </c>
      <c r="J158" s="57" t="s">
        <v>1391</v>
      </c>
      <c r="K158" s="57" t="s">
        <v>1261</v>
      </c>
      <c r="L158" s="57" t="s">
        <v>1172</v>
      </c>
      <c r="M158" s="57"/>
      <c r="N158" s="57" t="s">
        <v>1172</v>
      </c>
      <c r="O158" s="57"/>
      <c r="P158" s="112" t="s">
        <v>1174</v>
      </c>
      <c r="Q158" s="57" t="s">
        <v>1238</v>
      </c>
      <c r="R158" s="57" t="s">
        <v>578</v>
      </c>
      <c r="S158" s="57">
        <v>20</v>
      </c>
      <c r="T158" s="57" t="s">
        <v>1174</v>
      </c>
      <c r="U158" s="57" t="s">
        <v>1244</v>
      </c>
      <c r="V158" s="57" t="s">
        <v>1244</v>
      </c>
      <c r="W158" s="57" t="s">
        <v>1174</v>
      </c>
      <c r="X158" s="57" t="s">
        <v>1172</v>
      </c>
      <c r="Y158" s="57"/>
      <c r="Z158" s="112" t="s">
        <v>1178</v>
      </c>
      <c r="AA158" s="57" t="s">
        <v>1172</v>
      </c>
      <c r="AJ158" s="78" t="s">
        <v>1640</v>
      </c>
      <c r="AL158">
        <v>61</v>
      </c>
    </row>
    <row r="159" spans="1:38">
      <c r="A159" s="45" t="s">
        <v>866</v>
      </c>
      <c r="B159" s="120"/>
      <c r="C159" t="s">
        <v>1641</v>
      </c>
      <c r="D159" s="57" t="s">
        <v>1642</v>
      </c>
      <c r="E159" s="57" t="s">
        <v>85</v>
      </c>
      <c r="F159" s="92">
        <v>152.5</v>
      </c>
      <c r="G159" s="57">
        <v>46.6</v>
      </c>
      <c r="H159" s="57">
        <v>58</v>
      </c>
      <c r="I159" s="57" t="s">
        <v>1197</v>
      </c>
      <c r="J159" s="57" t="s">
        <v>1170</v>
      </c>
      <c r="K159" s="57" t="s">
        <v>1643</v>
      </c>
      <c r="L159" s="57" t="s">
        <v>1172</v>
      </c>
      <c r="M159" s="57"/>
      <c r="N159" s="57" t="s">
        <v>1172</v>
      </c>
      <c r="O159" s="57"/>
      <c r="P159" s="112" t="s">
        <v>1174</v>
      </c>
      <c r="Q159" s="57" t="s">
        <v>1175</v>
      </c>
      <c r="R159" s="57" t="s">
        <v>1172</v>
      </c>
      <c r="S159" s="57"/>
      <c r="T159" s="57"/>
      <c r="U159" s="57"/>
      <c r="V159" s="57"/>
      <c r="W159" s="57" t="s">
        <v>1174</v>
      </c>
      <c r="X159" s="57" t="s">
        <v>578</v>
      </c>
      <c r="Y159" s="57" t="s">
        <v>1644</v>
      </c>
      <c r="Z159" s="112" t="s">
        <v>1185</v>
      </c>
      <c r="AA159" s="57" t="s">
        <v>578</v>
      </c>
      <c r="AJ159" s="39" t="s">
        <v>1313</v>
      </c>
      <c r="AL159">
        <v>60</v>
      </c>
    </row>
    <row r="160" spans="1:38" ht="45">
      <c r="A160" s="45" t="s">
        <v>869</v>
      </c>
      <c r="B160" s="120"/>
      <c r="C160" t="s">
        <v>1645</v>
      </c>
      <c r="D160" s="57" t="s">
        <v>1645</v>
      </c>
      <c r="E160" s="57" t="s">
        <v>85</v>
      </c>
      <c r="F160" s="92">
        <v>160</v>
      </c>
      <c r="G160" s="57">
        <v>54</v>
      </c>
      <c r="H160" s="57">
        <v>47</v>
      </c>
      <c r="I160" s="57" t="s">
        <v>1182</v>
      </c>
      <c r="J160" s="57" t="s">
        <v>1170</v>
      </c>
      <c r="K160" s="57" t="s">
        <v>1192</v>
      </c>
      <c r="L160" s="57" t="s">
        <v>1172</v>
      </c>
      <c r="M160" s="57"/>
      <c r="N160" s="57" t="s">
        <v>1172</v>
      </c>
      <c r="O160" s="57"/>
      <c r="P160" s="112" t="s">
        <v>1199</v>
      </c>
      <c r="Q160" s="57" t="s">
        <v>1175</v>
      </c>
      <c r="R160" s="57" t="s">
        <v>1172</v>
      </c>
      <c r="S160" s="57"/>
      <c r="T160" s="57"/>
      <c r="U160" s="57"/>
      <c r="V160" s="57"/>
      <c r="W160" s="57" t="s">
        <v>1174</v>
      </c>
      <c r="X160" s="57" t="s">
        <v>578</v>
      </c>
      <c r="Y160" s="57" t="s">
        <v>1646</v>
      </c>
      <c r="Z160" s="112" t="s">
        <v>1178</v>
      </c>
      <c r="AA160" s="57" t="s">
        <v>1172</v>
      </c>
      <c r="AJ160" s="79" t="s">
        <v>1647</v>
      </c>
      <c r="AL160">
        <v>59</v>
      </c>
    </row>
    <row r="161" spans="1:38">
      <c r="A161" s="45" t="s">
        <v>872</v>
      </c>
      <c r="B161" s="120"/>
      <c r="C161" t="s">
        <v>1648</v>
      </c>
      <c r="D161" s="57" t="s">
        <v>1648</v>
      </c>
      <c r="E161" s="57" t="s">
        <v>85</v>
      </c>
      <c r="F161" s="92">
        <v>160</v>
      </c>
      <c r="G161" s="57" t="s">
        <v>1649</v>
      </c>
      <c r="H161" s="57">
        <v>57</v>
      </c>
      <c r="I161" s="57" t="s">
        <v>1197</v>
      </c>
      <c r="J161" s="57" t="s">
        <v>1170</v>
      </c>
      <c r="K161" s="57" t="s">
        <v>1256</v>
      </c>
      <c r="L161" s="57" t="s">
        <v>1172</v>
      </c>
      <c r="M161" s="57"/>
      <c r="N161" s="57" t="s">
        <v>1172</v>
      </c>
      <c r="O161" s="57"/>
      <c r="P161" s="112" t="s">
        <v>1276</v>
      </c>
      <c r="Q161" s="57" t="s">
        <v>1175</v>
      </c>
      <c r="R161" s="57" t="s">
        <v>578</v>
      </c>
      <c r="S161" s="57"/>
      <c r="T161" s="57">
        <v>0</v>
      </c>
      <c r="U161" s="57"/>
      <c r="V161" s="57"/>
      <c r="W161" s="57" t="s">
        <v>1174</v>
      </c>
      <c r="X161" s="57" t="s">
        <v>1172</v>
      </c>
      <c r="Y161" s="57"/>
      <c r="Z161" s="112" t="s">
        <v>1201</v>
      </c>
      <c r="AA161" s="57" t="s">
        <v>1172</v>
      </c>
      <c r="AJ161" s="80" t="s">
        <v>1650</v>
      </c>
      <c r="AL161">
        <v>58</v>
      </c>
    </row>
    <row r="162" spans="1:38">
      <c r="A162" s="45" t="s">
        <v>875</v>
      </c>
      <c r="B162" s="120"/>
      <c r="C162" t="s">
        <v>1651</v>
      </c>
      <c r="D162" s="57" t="s">
        <v>1652</v>
      </c>
      <c r="E162" s="57" t="s">
        <v>63</v>
      </c>
      <c r="F162" s="92">
        <v>166</v>
      </c>
      <c r="G162" s="57">
        <v>85</v>
      </c>
      <c r="H162" s="57">
        <v>63</v>
      </c>
      <c r="I162" s="57" t="s">
        <v>1197</v>
      </c>
      <c r="J162" s="57" t="s">
        <v>1170</v>
      </c>
      <c r="K162" s="57" t="s">
        <v>1192</v>
      </c>
      <c r="L162" s="57" t="s">
        <v>1172</v>
      </c>
      <c r="M162" s="57"/>
      <c r="N162" s="57" t="s">
        <v>1172</v>
      </c>
      <c r="O162" s="57"/>
      <c r="P162" s="112" t="s">
        <v>1174</v>
      </c>
      <c r="Q162" s="57" t="s">
        <v>1175</v>
      </c>
      <c r="R162" s="57" t="s">
        <v>1172</v>
      </c>
      <c r="S162" s="57"/>
      <c r="T162" s="57"/>
      <c r="U162" s="57"/>
      <c r="V162" s="57"/>
      <c r="W162" s="57">
        <v>0</v>
      </c>
      <c r="X162" s="57" t="s">
        <v>578</v>
      </c>
      <c r="Y162" s="57" t="s">
        <v>1653</v>
      </c>
      <c r="Z162" s="112" t="s">
        <v>1185</v>
      </c>
      <c r="AA162" s="57" t="s">
        <v>1172</v>
      </c>
      <c r="AJ162" s="79" t="s">
        <v>1380</v>
      </c>
      <c r="AL162">
        <v>57</v>
      </c>
    </row>
    <row r="163" spans="1:38">
      <c r="A163" s="45" t="s">
        <v>879</v>
      </c>
      <c r="B163" s="120"/>
      <c r="C163" t="s">
        <v>1654</v>
      </c>
      <c r="D163" s="50" t="s">
        <v>1654</v>
      </c>
      <c r="E163" s="50" t="s">
        <v>85</v>
      </c>
      <c r="F163" s="50">
        <v>167</v>
      </c>
      <c r="G163" s="50">
        <v>64</v>
      </c>
      <c r="H163" s="50">
        <v>51</v>
      </c>
      <c r="I163" s="50" t="s">
        <v>1182</v>
      </c>
      <c r="J163" s="50" t="s">
        <v>1170</v>
      </c>
      <c r="K163" s="50" t="s">
        <v>1192</v>
      </c>
      <c r="L163" s="50" t="s">
        <v>1172</v>
      </c>
      <c r="M163" s="50"/>
      <c r="N163" s="50" t="s">
        <v>1172</v>
      </c>
      <c r="O163" s="50"/>
      <c r="P163" s="113" t="s">
        <v>1174</v>
      </c>
      <c r="Q163" s="50" t="s">
        <v>1175</v>
      </c>
      <c r="R163" s="50" t="s">
        <v>578</v>
      </c>
      <c r="S163" s="50">
        <v>0</v>
      </c>
      <c r="T163" s="50">
        <v>0</v>
      </c>
      <c r="U163" s="50"/>
      <c r="V163" s="50"/>
      <c r="W163" s="50">
        <v>0</v>
      </c>
      <c r="X163" s="50" t="s">
        <v>1172</v>
      </c>
      <c r="Y163" s="50"/>
      <c r="Z163" s="113" t="s">
        <v>1178</v>
      </c>
      <c r="AA163" s="50" t="s">
        <v>1172</v>
      </c>
      <c r="AJ163" s="78" t="s">
        <v>1655</v>
      </c>
      <c r="AL163">
        <v>56</v>
      </c>
    </row>
    <row r="164" spans="1:38">
      <c r="A164" s="45" t="s">
        <v>882</v>
      </c>
      <c r="B164" s="120"/>
      <c r="C164" t="s">
        <v>1656</v>
      </c>
      <c r="D164" s="57" t="s">
        <v>1656</v>
      </c>
      <c r="E164" s="57" t="s">
        <v>85</v>
      </c>
      <c r="F164" s="57">
        <v>141</v>
      </c>
      <c r="G164" s="57">
        <v>45</v>
      </c>
      <c r="H164" s="57">
        <v>65</v>
      </c>
      <c r="I164" s="57" t="s">
        <v>1197</v>
      </c>
      <c r="J164" s="57" t="s">
        <v>1170</v>
      </c>
      <c r="K164" s="57" t="s">
        <v>1657</v>
      </c>
      <c r="L164" s="57" t="s">
        <v>1172</v>
      </c>
      <c r="M164" s="57"/>
      <c r="N164" s="57" t="s">
        <v>1172</v>
      </c>
      <c r="O164" s="57"/>
      <c r="P164" s="112" t="s">
        <v>1174</v>
      </c>
      <c r="Q164" s="57" t="s">
        <v>1175</v>
      </c>
      <c r="R164" s="57" t="s">
        <v>1172</v>
      </c>
      <c r="S164" s="57"/>
      <c r="T164" s="57"/>
      <c r="U164" s="57"/>
      <c r="V164" s="57"/>
      <c r="W164" s="57" t="s">
        <v>1174</v>
      </c>
      <c r="X164" s="57" t="s">
        <v>578</v>
      </c>
      <c r="Y164" s="57" t="s">
        <v>1658</v>
      </c>
      <c r="Z164" s="112" t="s">
        <v>1201</v>
      </c>
      <c r="AA164" s="57" t="s">
        <v>578</v>
      </c>
      <c r="AB164" s="50"/>
      <c r="AC164" s="50"/>
      <c r="AD164" s="51"/>
      <c r="AE164" s="51"/>
      <c r="AJ164" s="78" t="s">
        <v>1659</v>
      </c>
      <c r="AL164">
        <v>55</v>
      </c>
    </row>
    <row r="165" spans="1:38">
      <c r="A165" s="45" t="s">
        <v>886</v>
      </c>
      <c r="B165" s="120"/>
      <c r="C165" t="s">
        <v>1660</v>
      </c>
      <c r="D165" s="57" t="s">
        <v>1660</v>
      </c>
      <c r="E165" s="57" t="s">
        <v>85</v>
      </c>
      <c r="F165" s="57">
        <v>168</v>
      </c>
      <c r="G165" s="57">
        <v>50</v>
      </c>
      <c r="H165" s="57">
        <v>50</v>
      </c>
      <c r="I165" s="57" t="s">
        <v>1197</v>
      </c>
      <c r="J165" s="57" t="s">
        <v>1170</v>
      </c>
      <c r="K165" s="57" t="s">
        <v>1302</v>
      </c>
      <c r="L165" s="57" t="s">
        <v>1172</v>
      </c>
      <c r="M165" s="57"/>
      <c r="N165" s="57" t="s">
        <v>1172</v>
      </c>
      <c r="O165" s="57"/>
      <c r="P165" s="112" t="s">
        <v>1174</v>
      </c>
      <c r="Q165" s="57" t="s">
        <v>1175</v>
      </c>
      <c r="R165" s="57" t="s">
        <v>578</v>
      </c>
      <c r="S165" s="57">
        <v>15</v>
      </c>
      <c r="T165" s="57">
        <v>0</v>
      </c>
      <c r="U165" s="57"/>
      <c r="V165" s="57"/>
      <c r="W165" s="57" t="s">
        <v>1174</v>
      </c>
      <c r="X165" s="57" t="s">
        <v>1172</v>
      </c>
      <c r="Y165" s="57"/>
      <c r="Z165" s="112" t="s">
        <v>1185</v>
      </c>
      <c r="AA165" s="57" t="s">
        <v>1172</v>
      </c>
      <c r="AB165" s="50"/>
      <c r="AC165" s="50"/>
      <c r="AD165" s="51"/>
      <c r="AE165" s="51"/>
      <c r="AJ165" s="39" t="s">
        <v>1661</v>
      </c>
      <c r="AL165">
        <v>54</v>
      </c>
    </row>
    <row r="166" spans="1:38">
      <c r="A166" s="45" t="s">
        <v>888</v>
      </c>
      <c r="B166" s="120"/>
      <c r="C166" s="39" t="s">
        <v>1604</v>
      </c>
      <c r="D166" s="50" t="s">
        <v>1604</v>
      </c>
      <c r="E166" s="50" t="s">
        <v>85</v>
      </c>
      <c r="F166" s="92">
        <v>163</v>
      </c>
      <c r="G166" s="50">
        <v>58</v>
      </c>
      <c r="H166" s="50">
        <v>49</v>
      </c>
      <c r="I166" s="50" t="s">
        <v>1197</v>
      </c>
      <c r="J166" s="50" t="s">
        <v>1170</v>
      </c>
      <c r="K166" s="50" t="s">
        <v>1192</v>
      </c>
      <c r="L166" s="50" t="s">
        <v>1172</v>
      </c>
      <c r="M166" s="50"/>
      <c r="N166" s="50" t="s">
        <v>1172</v>
      </c>
      <c r="O166" s="50"/>
      <c r="P166" s="113">
        <v>0</v>
      </c>
      <c r="Q166" s="50" t="s">
        <v>1175</v>
      </c>
      <c r="R166" s="50" t="s">
        <v>578</v>
      </c>
      <c r="S166" s="50">
        <v>0</v>
      </c>
      <c r="T166" s="50">
        <v>0</v>
      </c>
      <c r="U166" s="50"/>
      <c r="V166" s="50"/>
      <c r="W166" s="50">
        <v>0</v>
      </c>
      <c r="X166" s="50" t="s">
        <v>578</v>
      </c>
      <c r="Y166" s="50" t="s">
        <v>1662</v>
      </c>
      <c r="Z166" s="113" t="s">
        <v>1201</v>
      </c>
      <c r="AA166" s="50" t="s">
        <v>1172</v>
      </c>
      <c r="AB166" s="50"/>
      <c r="AC166" s="50"/>
      <c r="AD166" s="50"/>
      <c r="AE166" s="51"/>
      <c r="AJ166" t="s">
        <v>1315</v>
      </c>
      <c r="AL166">
        <v>53</v>
      </c>
    </row>
    <row r="167" spans="1:38">
      <c r="A167" s="45" t="s">
        <v>896</v>
      </c>
      <c r="B167" s="120"/>
      <c r="C167" s="83" t="s">
        <v>1612</v>
      </c>
      <c r="D167" s="50" t="s">
        <v>1612</v>
      </c>
      <c r="E167" s="50" t="s">
        <v>63</v>
      </c>
      <c r="F167" s="92">
        <v>180</v>
      </c>
      <c r="G167" s="50">
        <v>59</v>
      </c>
      <c r="H167" s="50">
        <v>68</v>
      </c>
      <c r="I167" s="50" t="s">
        <v>1663</v>
      </c>
      <c r="J167" s="50" t="s">
        <v>1170</v>
      </c>
      <c r="K167" s="50" t="s">
        <v>1192</v>
      </c>
      <c r="L167" s="50" t="s">
        <v>1172</v>
      </c>
      <c r="M167" s="50"/>
      <c r="N167" s="50" t="s">
        <v>1172</v>
      </c>
      <c r="O167" s="50"/>
      <c r="P167" s="113" t="s">
        <v>1174</v>
      </c>
      <c r="Q167" s="50" t="s">
        <v>1175</v>
      </c>
      <c r="R167" s="50" t="s">
        <v>1172</v>
      </c>
      <c r="S167" s="50"/>
      <c r="T167" s="50"/>
      <c r="U167" s="50"/>
      <c r="V167" s="50"/>
      <c r="W167" s="50">
        <v>0</v>
      </c>
      <c r="X167" s="50" t="s">
        <v>1172</v>
      </c>
      <c r="Y167" s="50"/>
      <c r="Z167" s="113" t="s">
        <v>1185</v>
      </c>
      <c r="AA167" s="50" t="s">
        <v>1172</v>
      </c>
      <c r="AB167" s="50"/>
      <c r="AC167" s="50"/>
      <c r="AD167" s="51"/>
      <c r="AE167" s="51"/>
      <c r="AJ167" s="39" t="s">
        <v>1664</v>
      </c>
      <c r="AL167">
        <v>52</v>
      </c>
    </row>
    <row r="168" spans="1:38">
      <c r="A168" s="45" t="s">
        <v>900</v>
      </c>
      <c r="B168" s="120"/>
      <c r="C168" s="78" t="s">
        <v>1616</v>
      </c>
      <c r="D168" s="50" t="s">
        <v>1616</v>
      </c>
      <c r="E168" s="50" t="s">
        <v>85</v>
      </c>
      <c r="F168" s="92">
        <v>157</v>
      </c>
      <c r="G168" s="50">
        <v>48</v>
      </c>
      <c r="H168" s="50">
        <v>63</v>
      </c>
      <c r="I168" s="50" t="s">
        <v>1197</v>
      </c>
      <c r="J168" s="50" t="s">
        <v>1170</v>
      </c>
      <c r="K168" s="50" t="s">
        <v>1665</v>
      </c>
      <c r="L168" s="50" t="s">
        <v>1172</v>
      </c>
      <c r="M168" s="50"/>
      <c r="N168" s="50" t="s">
        <v>1172</v>
      </c>
      <c r="O168" s="50"/>
      <c r="P168" s="113" t="s">
        <v>1174</v>
      </c>
      <c r="Q168" s="50" t="s">
        <v>1175</v>
      </c>
      <c r="R168" s="50" t="s">
        <v>578</v>
      </c>
      <c r="S168" s="50" t="s">
        <v>1666</v>
      </c>
      <c r="T168" s="50">
        <v>0</v>
      </c>
      <c r="U168" s="50"/>
      <c r="V168" s="50"/>
      <c r="W168" s="50" t="s">
        <v>1174</v>
      </c>
      <c r="X168" s="50" t="s">
        <v>1172</v>
      </c>
      <c r="Y168" s="50"/>
      <c r="Z168" s="113" t="s">
        <v>1201</v>
      </c>
      <c r="AA168" s="50" t="s">
        <v>1172</v>
      </c>
      <c r="AB168" s="50"/>
      <c r="AC168" s="50"/>
      <c r="AD168" s="51"/>
      <c r="AE168" s="51"/>
      <c r="AJ168" s="79" t="s">
        <v>1667</v>
      </c>
      <c r="AL168">
        <v>51</v>
      </c>
    </row>
    <row r="169" spans="1:38">
      <c r="A169" s="45" t="s">
        <v>903</v>
      </c>
      <c r="B169" s="120"/>
      <c r="C169" s="78" t="s">
        <v>1619</v>
      </c>
      <c r="D169" s="50" t="s">
        <v>1619</v>
      </c>
      <c r="E169" s="50" t="s">
        <v>63</v>
      </c>
      <c r="F169" s="92">
        <v>180</v>
      </c>
      <c r="G169" s="50">
        <v>95</v>
      </c>
      <c r="H169" s="50">
        <v>41</v>
      </c>
      <c r="I169" s="50" t="s">
        <v>1197</v>
      </c>
      <c r="J169" s="50" t="s">
        <v>1170</v>
      </c>
      <c r="K169" s="50" t="s">
        <v>1192</v>
      </c>
      <c r="L169" s="50" t="s">
        <v>1172</v>
      </c>
      <c r="M169" s="50"/>
      <c r="N169" s="50" t="s">
        <v>1172</v>
      </c>
      <c r="O169" s="50"/>
      <c r="P169" s="113" t="s">
        <v>1199</v>
      </c>
      <c r="Q169" s="50" t="s">
        <v>1175</v>
      </c>
      <c r="R169" s="50" t="s">
        <v>578</v>
      </c>
      <c r="S169" s="50">
        <v>3</v>
      </c>
      <c r="T169" s="50" t="s">
        <v>1174</v>
      </c>
      <c r="U169" s="50" t="s">
        <v>1367</v>
      </c>
      <c r="V169" s="50" t="s">
        <v>1367</v>
      </c>
      <c r="W169" s="50" t="s">
        <v>1174</v>
      </c>
      <c r="X169" s="50" t="s">
        <v>1172</v>
      </c>
      <c r="Y169" s="50"/>
      <c r="Z169" s="113" t="s">
        <v>1185</v>
      </c>
      <c r="AA169" s="50" t="s">
        <v>1172</v>
      </c>
      <c r="AB169" s="50"/>
      <c r="AC169" s="50"/>
      <c r="AD169" s="50"/>
      <c r="AE169" s="51"/>
      <c r="AJ169" s="39" t="s">
        <v>1668</v>
      </c>
      <c r="AL169">
        <v>50</v>
      </c>
    </row>
    <row r="170" spans="1:38">
      <c r="A170" s="45" t="s">
        <v>914</v>
      </c>
      <c r="B170" s="120"/>
      <c r="C170" s="78" t="s">
        <v>1626</v>
      </c>
      <c r="D170" s="50" t="s">
        <v>1669</v>
      </c>
      <c r="E170" s="50" t="s">
        <v>85</v>
      </c>
      <c r="F170" s="92">
        <v>159</v>
      </c>
      <c r="G170" s="50">
        <v>54</v>
      </c>
      <c r="H170" s="50">
        <v>51</v>
      </c>
      <c r="I170" s="50" t="s">
        <v>1228</v>
      </c>
      <c r="J170" s="50" t="s">
        <v>1170</v>
      </c>
      <c r="K170" s="50" t="s">
        <v>1261</v>
      </c>
      <c r="L170" s="50" t="s">
        <v>1172</v>
      </c>
      <c r="M170" s="50"/>
      <c r="N170" s="50" t="s">
        <v>1172</v>
      </c>
      <c r="O170" s="50"/>
      <c r="P170" s="113" t="s">
        <v>1174</v>
      </c>
      <c r="Q170" s="50" t="s">
        <v>1175</v>
      </c>
      <c r="R170" s="50" t="s">
        <v>1172</v>
      </c>
      <c r="S170" s="50"/>
      <c r="T170" s="50"/>
      <c r="U170" s="50"/>
      <c r="V170" s="50"/>
      <c r="W170" s="50" t="s">
        <v>1174</v>
      </c>
      <c r="X170" s="50" t="s">
        <v>1172</v>
      </c>
      <c r="Y170" s="50"/>
      <c r="Z170" s="113" t="s">
        <v>1185</v>
      </c>
      <c r="AA170" s="50" t="s">
        <v>1172</v>
      </c>
      <c r="AB170" s="50"/>
      <c r="AC170" s="50"/>
      <c r="AD170" s="51"/>
      <c r="AE170" s="51"/>
      <c r="AJ170" s="39" t="s">
        <v>1670</v>
      </c>
      <c r="AL170">
        <v>49</v>
      </c>
    </row>
    <row r="171" spans="1:38">
      <c r="A171" s="45" t="s">
        <v>916</v>
      </c>
      <c r="B171" s="120"/>
      <c r="C171" s="39" t="s">
        <v>1630</v>
      </c>
      <c r="D171" s="50" t="s">
        <v>1630</v>
      </c>
      <c r="E171" s="50" t="s">
        <v>63</v>
      </c>
      <c r="F171" s="92">
        <v>166</v>
      </c>
      <c r="G171" s="50">
        <v>68.400000000000006</v>
      </c>
      <c r="H171" s="50">
        <v>68</v>
      </c>
      <c r="I171" s="50" t="s">
        <v>1228</v>
      </c>
      <c r="J171" s="50" t="s">
        <v>1170</v>
      </c>
      <c r="K171" s="50" t="s">
        <v>1671</v>
      </c>
      <c r="L171" s="50" t="s">
        <v>1172</v>
      </c>
      <c r="M171" s="50"/>
      <c r="N171" s="50" t="s">
        <v>1172</v>
      </c>
      <c r="O171" s="50"/>
      <c r="P171" s="113" t="s">
        <v>1174</v>
      </c>
      <c r="Q171" s="50" t="s">
        <v>1175</v>
      </c>
      <c r="R171" s="50" t="s">
        <v>578</v>
      </c>
      <c r="S171" s="50"/>
      <c r="T171" s="50">
        <v>0</v>
      </c>
      <c r="U171" s="50"/>
      <c r="V171" s="50"/>
      <c r="W171" s="50" t="s">
        <v>1174</v>
      </c>
      <c r="X171" s="50" t="s">
        <v>1172</v>
      </c>
      <c r="Y171" s="50"/>
      <c r="Z171" s="113" t="s">
        <v>1201</v>
      </c>
      <c r="AA171" s="50" t="s">
        <v>1172</v>
      </c>
      <c r="AB171" s="50"/>
      <c r="AC171" s="50"/>
      <c r="AD171" s="51"/>
      <c r="AE171" s="51"/>
      <c r="AJ171" s="39" t="s">
        <v>1672</v>
      </c>
      <c r="AL171">
        <v>48</v>
      </c>
    </row>
    <row r="172" spans="1:38">
      <c r="A172" s="45" t="s">
        <v>920</v>
      </c>
      <c r="B172" s="120"/>
      <c r="C172" s="39" t="s">
        <v>1633</v>
      </c>
      <c r="D172" s="50" t="s">
        <v>1673</v>
      </c>
      <c r="E172" s="50" t="s">
        <v>85</v>
      </c>
      <c r="F172" s="92">
        <v>170</v>
      </c>
      <c r="G172" s="50">
        <v>66</v>
      </c>
      <c r="H172" s="50">
        <v>45</v>
      </c>
      <c r="I172" s="50" t="s">
        <v>1182</v>
      </c>
      <c r="J172" s="50" t="s">
        <v>1170</v>
      </c>
      <c r="K172" s="50" t="s">
        <v>1192</v>
      </c>
      <c r="L172" s="50" t="s">
        <v>1172</v>
      </c>
      <c r="M172" s="50"/>
      <c r="N172" s="50" t="s">
        <v>1172</v>
      </c>
      <c r="O172" s="50"/>
      <c r="P172" s="113" t="s">
        <v>1174</v>
      </c>
      <c r="Q172" s="50" t="s">
        <v>1175</v>
      </c>
      <c r="R172" s="50" t="s">
        <v>578</v>
      </c>
      <c r="S172" s="50"/>
      <c r="T172" s="50">
        <v>0</v>
      </c>
      <c r="U172" s="50"/>
      <c r="V172" s="50"/>
      <c r="W172" s="50" t="s">
        <v>1174</v>
      </c>
      <c r="X172" s="50" t="s">
        <v>578</v>
      </c>
      <c r="Y172" s="50" t="s">
        <v>1674</v>
      </c>
      <c r="Z172" s="113" t="s">
        <v>1178</v>
      </c>
      <c r="AA172" s="50" t="s">
        <v>578</v>
      </c>
      <c r="AB172" s="50"/>
      <c r="AC172" s="50"/>
      <c r="AD172" s="51"/>
      <c r="AE172" s="51"/>
      <c r="AJ172" s="39" t="s">
        <v>1675</v>
      </c>
      <c r="AL172">
        <v>47</v>
      </c>
    </row>
    <row r="173" spans="1:38">
      <c r="A173" s="45" t="s">
        <v>923</v>
      </c>
      <c r="B173" s="120"/>
      <c r="C173" s="78" t="s">
        <v>1637</v>
      </c>
      <c r="D173" s="50" t="s">
        <v>1637</v>
      </c>
      <c r="E173" s="50" t="s">
        <v>85</v>
      </c>
      <c r="F173" s="92">
        <v>158</v>
      </c>
      <c r="G173" s="50">
        <v>68</v>
      </c>
      <c r="H173" s="50">
        <v>46</v>
      </c>
      <c r="I173" s="50" t="s">
        <v>1197</v>
      </c>
      <c r="J173" s="50" t="s">
        <v>1170</v>
      </c>
      <c r="K173" s="50" t="s">
        <v>1302</v>
      </c>
      <c r="L173" s="50" t="s">
        <v>1172</v>
      </c>
      <c r="M173" s="50"/>
      <c r="N173" s="50" t="s">
        <v>1172</v>
      </c>
      <c r="O173" s="50"/>
      <c r="P173" s="113" t="s">
        <v>1174</v>
      </c>
      <c r="Q173" s="50" t="s">
        <v>1175</v>
      </c>
      <c r="R173" s="50" t="s">
        <v>1172</v>
      </c>
      <c r="S173" s="50"/>
      <c r="T173" s="50"/>
      <c r="U173" s="50"/>
      <c r="V173" s="50"/>
      <c r="W173" s="50" t="s">
        <v>1174</v>
      </c>
      <c r="X173" s="50" t="s">
        <v>1172</v>
      </c>
      <c r="Y173" s="50"/>
      <c r="Z173" s="113" t="s">
        <v>1178</v>
      </c>
      <c r="AA173" s="50" t="s">
        <v>1172</v>
      </c>
      <c r="AB173" s="50"/>
      <c r="AC173" s="50"/>
      <c r="AD173" s="50"/>
      <c r="AE173" s="51"/>
      <c r="AJ173" s="78" t="s">
        <v>1676</v>
      </c>
      <c r="AL173">
        <v>46</v>
      </c>
    </row>
    <row r="174" spans="1:38">
      <c r="A174" s="45" t="s">
        <v>928</v>
      </c>
      <c r="B174" s="120"/>
      <c r="C174" s="78" t="s">
        <v>1640</v>
      </c>
      <c r="D174" s="50" t="s">
        <v>1640</v>
      </c>
      <c r="E174" s="50" t="s">
        <v>85</v>
      </c>
      <c r="F174" s="92">
        <v>164</v>
      </c>
      <c r="G174" s="50">
        <v>52</v>
      </c>
      <c r="H174" s="50">
        <v>48</v>
      </c>
      <c r="I174" s="50" t="s">
        <v>1197</v>
      </c>
      <c r="J174" s="50" t="s">
        <v>1170</v>
      </c>
      <c r="K174" s="50" t="s">
        <v>1192</v>
      </c>
      <c r="L174" s="50" t="s">
        <v>1172</v>
      </c>
      <c r="M174" s="50"/>
      <c r="N174" s="50" t="s">
        <v>1172</v>
      </c>
      <c r="O174" s="50"/>
      <c r="P174" s="113" t="s">
        <v>1174</v>
      </c>
      <c r="Q174" s="50" t="s">
        <v>1175</v>
      </c>
      <c r="R174" s="50" t="s">
        <v>578</v>
      </c>
      <c r="S174" s="50" t="s">
        <v>1677</v>
      </c>
      <c r="T174" s="50">
        <v>0</v>
      </c>
      <c r="U174" s="50"/>
      <c r="V174" s="50"/>
      <c r="W174" s="50">
        <v>0</v>
      </c>
      <c r="X174" s="50" t="s">
        <v>578</v>
      </c>
      <c r="Y174" s="50" t="s">
        <v>1678</v>
      </c>
      <c r="Z174" s="113" t="s">
        <v>1201</v>
      </c>
      <c r="AA174" s="50" t="s">
        <v>1172</v>
      </c>
      <c r="AB174" s="50"/>
      <c r="AC174" s="50"/>
      <c r="AD174" s="51"/>
      <c r="AE174" s="51"/>
      <c r="AJ174" s="39" t="s">
        <v>1679</v>
      </c>
      <c r="AL174">
        <v>45</v>
      </c>
    </row>
    <row r="175" spans="1:38">
      <c r="A175" s="45" t="s">
        <v>935</v>
      </c>
      <c r="B175" s="120"/>
      <c r="C175" s="83" t="s">
        <v>1647</v>
      </c>
      <c r="D175" s="50" t="s">
        <v>1680</v>
      </c>
      <c r="E175" s="50" t="s">
        <v>63</v>
      </c>
      <c r="F175" s="92">
        <v>171</v>
      </c>
      <c r="G175" s="50">
        <v>47</v>
      </c>
      <c r="H175" s="50">
        <v>67</v>
      </c>
      <c r="I175" s="50" t="s">
        <v>1232</v>
      </c>
      <c r="J175" s="50" t="s">
        <v>1170</v>
      </c>
      <c r="K175" s="50" t="s">
        <v>1302</v>
      </c>
      <c r="L175" s="50" t="s">
        <v>1172</v>
      </c>
      <c r="M175" s="50"/>
      <c r="N175" s="50" t="s">
        <v>1172</v>
      </c>
      <c r="O175" s="50"/>
      <c r="P175" s="113" t="s">
        <v>1174</v>
      </c>
      <c r="Q175" s="50" t="s">
        <v>1175</v>
      </c>
      <c r="R175" s="50" t="s">
        <v>1172</v>
      </c>
      <c r="S175" s="50"/>
      <c r="T175" s="50"/>
      <c r="U175" s="50"/>
      <c r="V175" s="50"/>
      <c r="W175" s="50">
        <v>0</v>
      </c>
      <c r="X175" s="50" t="s">
        <v>1172</v>
      </c>
      <c r="Y175" s="50"/>
      <c r="Z175" s="113" t="s">
        <v>1185</v>
      </c>
      <c r="AA175" s="50" t="s">
        <v>1172</v>
      </c>
      <c r="AB175" s="50"/>
      <c r="AC175" s="50"/>
      <c r="AD175" s="51"/>
      <c r="AE175" s="51"/>
      <c r="AJ175" s="78" t="s">
        <v>1681</v>
      </c>
      <c r="AL175">
        <v>44</v>
      </c>
    </row>
    <row r="176" spans="1:38">
      <c r="A176" s="45" t="s">
        <v>939</v>
      </c>
      <c r="B176" s="120"/>
      <c r="C176" t="s">
        <v>1650</v>
      </c>
      <c r="D176" s="50" t="s">
        <v>1650</v>
      </c>
      <c r="E176" s="50" t="s">
        <v>85</v>
      </c>
      <c r="F176" s="92">
        <v>166</v>
      </c>
      <c r="G176" s="50">
        <v>50</v>
      </c>
      <c r="H176" s="50">
        <v>60</v>
      </c>
      <c r="I176" s="50" t="s">
        <v>1197</v>
      </c>
      <c r="J176" s="50" t="s">
        <v>1170</v>
      </c>
      <c r="K176" s="50" t="s">
        <v>1302</v>
      </c>
      <c r="L176" s="50" t="s">
        <v>1172</v>
      </c>
      <c r="M176" s="50"/>
      <c r="N176" s="50" t="s">
        <v>1172</v>
      </c>
      <c r="O176" s="50"/>
      <c r="P176" s="113" t="s">
        <v>1276</v>
      </c>
      <c r="Q176" s="50" t="s">
        <v>1175</v>
      </c>
      <c r="R176" s="50" t="s">
        <v>578</v>
      </c>
      <c r="S176" s="50"/>
      <c r="T176" s="50">
        <v>0</v>
      </c>
      <c r="U176" s="50"/>
      <c r="V176" s="50"/>
      <c r="W176" s="50" t="s">
        <v>1174</v>
      </c>
      <c r="X176" s="50" t="s">
        <v>578</v>
      </c>
      <c r="Y176" s="50" t="s">
        <v>1682</v>
      </c>
      <c r="Z176" s="113" t="s">
        <v>1201</v>
      </c>
      <c r="AA176" s="50" t="s">
        <v>1172</v>
      </c>
      <c r="AB176" s="50"/>
      <c r="AC176" s="50"/>
      <c r="AD176" s="51"/>
      <c r="AE176" s="51"/>
      <c r="AJ176" s="78" t="s">
        <v>1683</v>
      </c>
      <c r="AL176">
        <v>43</v>
      </c>
    </row>
    <row r="177" spans="1:38">
      <c r="A177" s="45" t="s">
        <v>947</v>
      </c>
      <c r="B177" s="120"/>
      <c r="C177" s="78" t="s">
        <v>1655</v>
      </c>
      <c r="D177" s="50" t="s">
        <v>1684</v>
      </c>
      <c r="E177" s="50" t="s">
        <v>63</v>
      </c>
      <c r="F177" s="92">
        <v>163</v>
      </c>
      <c r="G177" s="50">
        <v>78</v>
      </c>
      <c r="H177" s="50">
        <v>64</v>
      </c>
      <c r="I177" s="50" t="s">
        <v>1685</v>
      </c>
      <c r="J177" s="50" t="s">
        <v>1170</v>
      </c>
      <c r="K177" s="50" t="s">
        <v>1486</v>
      </c>
      <c r="L177" s="50" t="s">
        <v>1172</v>
      </c>
      <c r="M177" s="50"/>
      <c r="N177" s="50" t="s">
        <v>1172</v>
      </c>
      <c r="O177" s="50"/>
      <c r="P177" s="113" t="s">
        <v>1174</v>
      </c>
      <c r="Q177" s="50" t="s">
        <v>1175</v>
      </c>
      <c r="R177" s="50" t="s">
        <v>1172</v>
      </c>
      <c r="S177" s="50"/>
      <c r="T177" s="50"/>
      <c r="U177" s="50"/>
      <c r="V177" s="50"/>
      <c r="W177" s="50">
        <v>0</v>
      </c>
      <c r="X177" s="50" t="s">
        <v>1172</v>
      </c>
      <c r="Y177" s="50"/>
      <c r="Z177" s="113" t="s">
        <v>1201</v>
      </c>
      <c r="AA177" s="50" t="s">
        <v>578</v>
      </c>
      <c r="AB177" s="50"/>
      <c r="AC177" s="50"/>
      <c r="AD177" s="51"/>
      <c r="AE177" s="51"/>
      <c r="AJ177" s="39" t="s">
        <v>1686</v>
      </c>
      <c r="AL177">
        <v>42</v>
      </c>
    </row>
    <row r="178" spans="1:38">
      <c r="A178" s="45" t="s">
        <v>952</v>
      </c>
      <c r="B178" s="120"/>
      <c r="C178" s="78" t="s">
        <v>1659</v>
      </c>
      <c r="D178" s="50" t="s">
        <v>1687</v>
      </c>
      <c r="E178" s="50" t="s">
        <v>63</v>
      </c>
      <c r="F178" s="92">
        <v>170</v>
      </c>
      <c r="G178" s="50" t="s">
        <v>1688</v>
      </c>
      <c r="H178" s="50">
        <v>70</v>
      </c>
      <c r="I178" s="50" t="s">
        <v>1689</v>
      </c>
      <c r="J178" s="50" t="s">
        <v>1170</v>
      </c>
      <c r="K178" s="50" t="s">
        <v>1293</v>
      </c>
      <c r="L178" s="50" t="s">
        <v>1172</v>
      </c>
      <c r="M178" s="50"/>
      <c r="N178" s="50" t="s">
        <v>1172</v>
      </c>
      <c r="O178" s="50"/>
      <c r="P178" s="113" t="s">
        <v>1199</v>
      </c>
      <c r="Q178" s="50" t="s">
        <v>1175</v>
      </c>
      <c r="R178" s="50" t="s">
        <v>1172</v>
      </c>
      <c r="S178" s="50"/>
      <c r="T178" s="50"/>
      <c r="U178" s="50"/>
      <c r="V178" s="50"/>
      <c r="W178" s="50" t="s">
        <v>1174</v>
      </c>
      <c r="X178" s="50" t="s">
        <v>1172</v>
      </c>
      <c r="Y178" s="50"/>
      <c r="Z178" s="113" t="s">
        <v>1185</v>
      </c>
      <c r="AA178" s="50" t="s">
        <v>1172</v>
      </c>
      <c r="AB178" s="50"/>
      <c r="AC178" s="50"/>
      <c r="AD178" s="51"/>
      <c r="AE178" s="51"/>
      <c r="AJ178" s="39" t="s">
        <v>1690</v>
      </c>
      <c r="AL178">
        <v>41</v>
      </c>
    </row>
    <row r="179" spans="1:38">
      <c r="A179" s="45" t="s">
        <v>955</v>
      </c>
      <c r="B179" s="120"/>
      <c r="C179" s="39" t="s">
        <v>1661</v>
      </c>
      <c r="D179" s="50" t="s">
        <v>1691</v>
      </c>
      <c r="E179" s="50" t="s">
        <v>63</v>
      </c>
      <c r="F179" s="92">
        <v>175</v>
      </c>
      <c r="G179" s="50" t="s">
        <v>1692</v>
      </c>
      <c r="H179" s="50">
        <v>38</v>
      </c>
      <c r="I179" s="50" t="s">
        <v>1693</v>
      </c>
      <c r="J179" s="50" t="s">
        <v>1170</v>
      </c>
      <c r="K179" s="50" t="s">
        <v>1694</v>
      </c>
      <c r="L179" s="50" t="s">
        <v>1172</v>
      </c>
      <c r="M179" s="50"/>
      <c r="N179" s="50" t="s">
        <v>1172</v>
      </c>
      <c r="O179" s="50"/>
      <c r="P179" s="113" t="s">
        <v>1174</v>
      </c>
      <c r="Q179" s="50" t="s">
        <v>1175</v>
      </c>
      <c r="R179" s="50" t="s">
        <v>1172</v>
      </c>
      <c r="S179" s="50"/>
      <c r="T179" s="50"/>
      <c r="U179" s="50"/>
      <c r="V179" s="50"/>
      <c r="W179" s="50" t="s">
        <v>1174</v>
      </c>
      <c r="X179" s="50" t="s">
        <v>1172</v>
      </c>
      <c r="Y179" s="50"/>
      <c r="Z179" s="113" t="s">
        <v>1185</v>
      </c>
      <c r="AA179" s="50" t="s">
        <v>578</v>
      </c>
      <c r="AB179" s="50"/>
      <c r="AC179" s="50"/>
      <c r="AD179" s="51"/>
      <c r="AE179" s="51"/>
      <c r="AJ179" s="39" t="s">
        <v>1317</v>
      </c>
      <c r="AL179">
        <v>40</v>
      </c>
    </row>
    <row r="180" spans="1:38">
      <c r="A180" s="45" t="s">
        <v>966</v>
      </c>
      <c r="B180" s="120"/>
      <c r="C180" s="39" t="s">
        <v>1664</v>
      </c>
      <c r="D180" s="84" t="s">
        <v>1695</v>
      </c>
      <c r="E180" s="84" t="s">
        <v>63</v>
      </c>
      <c r="F180" s="84" t="s">
        <v>1696</v>
      </c>
      <c r="G180" s="84" t="s">
        <v>1393</v>
      </c>
      <c r="H180" s="57">
        <v>43</v>
      </c>
      <c r="I180" s="84" t="s">
        <v>1197</v>
      </c>
      <c r="J180" s="84" t="s">
        <v>1170</v>
      </c>
      <c r="K180" s="84" t="s">
        <v>1302</v>
      </c>
      <c r="L180" s="84" t="s">
        <v>1172</v>
      </c>
      <c r="M180" s="84"/>
      <c r="N180" s="84" t="s">
        <v>1172</v>
      </c>
      <c r="O180" s="84"/>
      <c r="P180" s="114" t="s">
        <v>1199</v>
      </c>
      <c r="Q180" s="84" t="s">
        <v>1175</v>
      </c>
      <c r="R180" s="84" t="s">
        <v>1172</v>
      </c>
      <c r="S180" s="84"/>
      <c r="T180" s="84"/>
      <c r="U180" s="84"/>
      <c r="V180" s="84"/>
      <c r="W180" s="84" t="s">
        <v>1174</v>
      </c>
      <c r="X180" s="84" t="s">
        <v>578</v>
      </c>
      <c r="Y180" s="84" t="s">
        <v>10</v>
      </c>
      <c r="Z180" s="114" t="s">
        <v>1178</v>
      </c>
      <c r="AA180" s="84" t="s">
        <v>1172</v>
      </c>
      <c r="AB180" s="50"/>
      <c r="AC180" s="50"/>
      <c r="AD180" s="51"/>
      <c r="AE180" s="51"/>
      <c r="AJ180" s="39" t="s">
        <v>1697</v>
      </c>
      <c r="AL180">
        <v>39</v>
      </c>
    </row>
    <row r="181" spans="1:38">
      <c r="A181" s="45" t="s">
        <v>970</v>
      </c>
      <c r="B181" s="120"/>
      <c r="C181" s="83" t="s">
        <v>1667</v>
      </c>
      <c r="D181" s="84" t="s">
        <v>1667</v>
      </c>
      <c r="E181" s="84" t="s">
        <v>85</v>
      </c>
      <c r="F181" s="84" t="s">
        <v>1698</v>
      </c>
      <c r="G181" s="84" t="s">
        <v>1699</v>
      </c>
      <c r="H181" s="57">
        <v>45</v>
      </c>
      <c r="I181" s="84" t="s">
        <v>1228</v>
      </c>
      <c r="J181" s="84" t="s">
        <v>1170</v>
      </c>
      <c r="K181" s="84" t="s">
        <v>1700</v>
      </c>
      <c r="L181" s="84" t="s">
        <v>1172</v>
      </c>
      <c r="M181" s="84"/>
      <c r="N181" s="84" t="s">
        <v>1172</v>
      </c>
      <c r="O181" s="84"/>
      <c r="P181" s="114" t="s">
        <v>1174</v>
      </c>
      <c r="Q181" s="84" t="s">
        <v>1175</v>
      </c>
      <c r="R181" s="84" t="s">
        <v>1172</v>
      </c>
      <c r="S181" s="84"/>
      <c r="T181" s="84"/>
      <c r="U181" s="84"/>
      <c r="V181" s="84"/>
      <c r="W181" s="84" t="s">
        <v>1177</v>
      </c>
      <c r="X181" s="84" t="s">
        <v>1172</v>
      </c>
      <c r="Y181" s="84"/>
      <c r="Z181" s="114" t="s">
        <v>1185</v>
      </c>
      <c r="AA181" s="84" t="s">
        <v>1172</v>
      </c>
      <c r="AB181" s="50"/>
      <c r="AC181" s="50"/>
      <c r="AD181" s="51"/>
      <c r="AE181" s="51"/>
      <c r="AJ181" s="39" t="s">
        <v>1321</v>
      </c>
      <c r="AL181">
        <v>38</v>
      </c>
    </row>
    <row r="182" spans="1:38">
      <c r="A182" s="45" t="s">
        <v>973</v>
      </c>
      <c r="B182" s="120"/>
      <c r="C182" s="39" t="s">
        <v>1668</v>
      </c>
      <c r="D182" s="84" t="s">
        <v>1668</v>
      </c>
      <c r="E182" s="84" t="s">
        <v>63</v>
      </c>
      <c r="F182" s="84" t="s">
        <v>1701</v>
      </c>
      <c r="G182" s="84" t="s">
        <v>1333</v>
      </c>
      <c r="H182" s="57">
        <v>52</v>
      </c>
      <c r="I182" s="84" t="s">
        <v>1197</v>
      </c>
      <c r="J182" s="84" t="s">
        <v>1170</v>
      </c>
      <c r="K182" s="84" t="s">
        <v>1192</v>
      </c>
      <c r="L182" s="84" t="s">
        <v>1172</v>
      </c>
      <c r="M182" s="84"/>
      <c r="N182" s="84" t="s">
        <v>1172</v>
      </c>
      <c r="O182" s="84"/>
      <c r="P182" s="114" t="s">
        <v>1174</v>
      </c>
      <c r="Q182" s="84" t="s">
        <v>1175</v>
      </c>
      <c r="R182" s="84" t="s">
        <v>1172</v>
      </c>
      <c r="S182" s="84"/>
      <c r="T182" s="84"/>
      <c r="U182" s="84"/>
      <c r="V182" s="84"/>
      <c r="W182" s="84" t="s">
        <v>1174</v>
      </c>
      <c r="X182" s="84" t="s">
        <v>1172</v>
      </c>
      <c r="Y182" s="84"/>
      <c r="Z182" s="114" t="s">
        <v>1185</v>
      </c>
      <c r="AA182" s="84" t="s">
        <v>1172</v>
      </c>
      <c r="AB182" s="50"/>
      <c r="AC182" s="50"/>
      <c r="AD182" s="50"/>
      <c r="AE182" s="51"/>
      <c r="AJ182" s="39" t="s">
        <v>1702</v>
      </c>
      <c r="AL182">
        <v>37</v>
      </c>
    </row>
    <row r="183" spans="1:38">
      <c r="A183" s="45" t="s">
        <v>978</v>
      </c>
      <c r="B183" s="120"/>
      <c r="C183" s="39" t="s">
        <v>1670</v>
      </c>
      <c r="D183" s="84" t="s">
        <v>1670</v>
      </c>
      <c r="E183" s="84" t="s">
        <v>63</v>
      </c>
      <c r="F183" s="84" t="s">
        <v>1397</v>
      </c>
      <c r="G183" s="84" t="s">
        <v>1703</v>
      </c>
      <c r="H183" s="57">
        <v>42</v>
      </c>
      <c r="I183" s="84" t="s">
        <v>1191</v>
      </c>
      <c r="J183" s="84" t="s">
        <v>1170</v>
      </c>
      <c r="K183" s="84" t="s">
        <v>1171</v>
      </c>
      <c r="L183" s="84" t="s">
        <v>1172</v>
      </c>
      <c r="M183" s="84"/>
      <c r="N183" s="84" t="s">
        <v>578</v>
      </c>
      <c r="O183" s="84" t="s">
        <v>1704</v>
      </c>
      <c r="P183" s="114" t="s">
        <v>1177</v>
      </c>
      <c r="Q183" s="84" t="s">
        <v>1175</v>
      </c>
      <c r="R183" s="84" t="s">
        <v>1172</v>
      </c>
      <c r="S183" s="84"/>
      <c r="T183" s="84"/>
      <c r="U183" s="84"/>
      <c r="V183" s="84"/>
      <c r="W183" s="84" t="s">
        <v>1174</v>
      </c>
      <c r="X183" s="84" t="s">
        <v>1172</v>
      </c>
      <c r="Y183" s="84"/>
      <c r="Z183" s="114" t="s">
        <v>1185</v>
      </c>
      <c r="AA183" s="84" t="s">
        <v>1172</v>
      </c>
      <c r="AB183" s="50"/>
      <c r="AC183" s="50"/>
      <c r="AD183" s="50"/>
      <c r="AE183" s="51"/>
      <c r="AJ183" s="39" t="s">
        <v>1705</v>
      </c>
      <c r="AL183">
        <v>36</v>
      </c>
    </row>
    <row r="184" spans="1:38">
      <c r="A184" s="45" t="s">
        <v>983</v>
      </c>
      <c r="B184" s="120"/>
      <c r="C184" s="39" t="s">
        <v>1672</v>
      </c>
      <c r="D184" s="84" t="s">
        <v>1672</v>
      </c>
      <c r="E184" s="84" t="s">
        <v>85</v>
      </c>
      <c r="F184" s="84" t="s">
        <v>1167</v>
      </c>
      <c r="G184" s="84" t="s">
        <v>1426</v>
      </c>
      <c r="H184" s="57">
        <v>47</v>
      </c>
      <c r="I184" s="84" t="s">
        <v>1197</v>
      </c>
      <c r="J184" s="84" t="s">
        <v>1170</v>
      </c>
      <c r="K184" s="84" t="s">
        <v>1706</v>
      </c>
      <c r="L184" s="84" t="s">
        <v>1172</v>
      </c>
      <c r="M184" s="84"/>
      <c r="N184" s="84" t="s">
        <v>1172</v>
      </c>
      <c r="O184" s="84"/>
      <c r="P184" s="114" t="s">
        <v>1174</v>
      </c>
      <c r="Q184" s="84" t="s">
        <v>1175</v>
      </c>
      <c r="R184" s="84" t="s">
        <v>578</v>
      </c>
      <c r="S184" s="84" t="s">
        <v>1177</v>
      </c>
      <c r="T184" s="84" t="s">
        <v>1177</v>
      </c>
      <c r="U184" s="84"/>
      <c r="V184" s="84"/>
      <c r="W184" s="84" t="s">
        <v>1174</v>
      </c>
      <c r="X184" s="84" t="s">
        <v>1172</v>
      </c>
      <c r="Y184" s="84"/>
      <c r="Z184" s="114" t="s">
        <v>1201</v>
      </c>
      <c r="AA184" s="84" t="s">
        <v>578</v>
      </c>
      <c r="AB184" s="50"/>
      <c r="AC184" s="50"/>
      <c r="AD184" s="50"/>
      <c r="AE184" s="51"/>
      <c r="AJ184" s="39" t="s">
        <v>1707</v>
      </c>
      <c r="AL184">
        <v>35</v>
      </c>
    </row>
    <row r="185" spans="1:38">
      <c r="A185" s="45" t="s">
        <v>986</v>
      </c>
      <c r="B185" s="120"/>
      <c r="C185" s="39" t="s">
        <v>1675</v>
      </c>
      <c r="D185" s="84" t="s">
        <v>1708</v>
      </c>
      <c r="E185" s="84" t="s">
        <v>85</v>
      </c>
      <c r="F185" s="84" t="s">
        <v>1203</v>
      </c>
      <c r="G185" s="84" t="s">
        <v>1709</v>
      </c>
      <c r="H185" s="57">
        <v>48</v>
      </c>
      <c r="I185" s="84" t="s">
        <v>1197</v>
      </c>
      <c r="J185" s="84" t="s">
        <v>1170</v>
      </c>
      <c r="K185" s="84" t="s">
        <v>1710</v>
      </c>
      <c r="L185" s="84" t="s">
        <v>1172</v>
      </c>
      <c r="M185" s="84"/>
      <c r="N185" s="84" t="s">
        <v>1172</v>
      </c>
      <c r="O185" s="84"/>
      <c r="P185" s="114" t="s">
        <v>1177</v>
      </c>
      <c r="Q185" s="84" t="s">
        <v>1175</v>
      </c>
      <c r="R185" s="84" t="s">
        <v>1172</v>
      </c>
      <c r="S185" s="84"/>
      <c r="T185" s="84"/>
      <c r="U185" s="84"/>
      <c r="V185" s="84"/>
      <c r="W185" s="84" t="s">
        <v>1177</v>
      </c>
      <c r="X185" s="84" t="s">
        <v>1172</v>
      </c>
      <c r="Y185" s="84"/>
      <c r="Z185" s="114" t="s">
        <v>1185</v>
      </c>
      <c r="AA185" s="84" t="s">
        <v>1172</v>
      </c>
      <c r="AB185" s="50"/>
      <c r="AC185" s="50"/>
      <c r="AD185" s="51"/>
      <c r="AE185" s="51"/>
      <c r="AJ185" s="78" t="s">
        <v>1711</v>
      </c>
      <c r="AL185">
        <v>34</v>
      </c>
    </row>
    <row r="186" spans="1:38">
      <c r="A186" s="45" t="s">
        <v>990</v>
      </c>
      <c r="B186" s="120"/>
      <c r="C186" s="78" t="s">
        <v>1676</v>
      </c>
      <c r="D186" s="84" t="s">
        <v>1676</v>
      </c>
      <c r="E186" s="84" t="s">
        <v>63</v>
      </c>
      <c r="F186" s="84" t="s">
        <v>1407</v>
      </c>
      <c r="G186" s="84" t="s">
        <v>1426</v>
      </c>
      <c r="H186" s="57">
        <v>62</v>
      </c>
      <c r="I186" s="84" t="s">
        <v>1191</v>
      </c>
      <c r="J186" s="84" t="s">
        <v>1170</v>
      </c>
      <c r="K186" s="84" t="s">
        <v>1712</v>
      </c>
      <c r="L186" s="84" t="s">
        <v>1172</v>
      </c>
      <c r="M186" s="84"/>
      <c r="N186" s="84" t="s">
        <v>1172</v>
      </c>
      <c r="O186" s="84"/>
      <c r="P186" s="114" t="s">
        <v>1174</v>
      </c>
      <c r="Q186" s="84" t="s">
        <v>1175</v>
      </c>
      <c r="R186" s="84" t="s">
        <v>1172</v>
      </c>
      <c r="S186" s="84"/>
      <c r="T186" s="84"/>
      <c r="U186" s="84"/>
      <c r="V186" s="84"/>
      <c r="W186" s="84" t="s">
        <v>1177</v>
      </c>
      <c r="X186" s="84" t="s">
        <v>1172</v>
      </c>
      <c r="Y186" s="84"/>
      <c r="Z186" s="114" t="s">
        <v>1178</v>
      </c>
      <c r="AA186" s="84" t="s">
        <v>578</v>
      </c>
      <c r="AB186" s="50"/>
      <c r="AC186" s="50"/>
      <c r="AD186" s="50"/>
      <c r="AE186" s="51"/>
      <c r="AJ186" s="78" t="s">
        <v>1324</v>
      </c>
      <c r="AL186">
        <v>33</v>
      </c>
    </row>
    <row r="187" spans="1:38">
      <c r="A187" s="45" t="s">
        <v>993</v>
      </c>
      <c r="B187" s="120"/>
      <c r="C187" s="39" t="s">
        <v>1679</v>
      </c>
      <c r="D187" s="84" t="s">
        <v>1679</v>
      </c>
      <c r="E187" s="84" t="s">
        <v>85</v>
      </c>
      <c r="F187" s="84" t="s">
        <v>1397</v>
      </c>
      <c r="G187" s="84" t="s">
        <v>1703</v>
      </c>
      <c r="H187" s="57">
        <v>41</v>
      </c>
      <c r="I187" s="84" t="s">
        <v>1197</v>
      </c>
      <c r="J187" s="84" t="s">
        <v>1170</v>
      </c>
      <c r="K187" s="84" t="s">
        <v>1713</v>
      </c>
      <c r="L187" s="84" t="s">
        <v>1172</v>
      </c>
      <c r="M187" s="84"/>
      <c r="N187" s="84" t="s">
        <v>1172</v>
      </c>
      <c r="O187" s="84"/>
      <c r="P187" s="114" t="s">
        <v>1174</v>
      </c>
      <c r="Q187" s="84" t="s">
        <v>1175</v>
      </c>
      <c r="R187" s="84" t="s">
        <v>578</v>
      </c>
      <c r="S187" s="84" t="s">
        <v>1677</v>
      </c>
      <c r="T187" s="84" t="s">
        <v>1177</v>
      </c>
      <c r="U187" s="84"/>
      <c r="V187" s="84"/>
      <c r="W187" s="84" t="s">
        <v>1177</v>
      </c>
      <c r="X187" s="84" t="s">
        <v>1172</v>
      </c>
      <c r="Y187" s="84"/>
      <c r="Z187" s="114" t="s">
        <v>1178</v>
      </c>
      <c r="AA187" s="84" t="s">
        <v>578</v>
      </c>
      <c r="AB187" s="50"/>
      <c r="AC187" s="50"/>
      <c r="AD187" s="50"/>
      <c r="AE187" s="51"/>
      <c r="AJ187" s="78" t="s">
        <v>1714</v>
      </c>
      <c r="AL187">
        <v>32</v>
      </c>
    </row>
    <row r="188" spans="1:38">
      <c r="A188" s="45" t="s">
        <v>997</v>
      </c>
      <c r="B188" s="120"/>
      <c r="C188" s="78" t="s">
        <v>1681</v>
      </c>
      <c r="D188" s="84" t="s">
        <v>1715</v>
      </c>
      <c r="E188" s="84" t="s">
        <v>63</v>
      </c>
      <c r="F188" s="84" t="s">
        <v>1361</v>
      </c>
      <c r="G188" s="84" t="s">
        <v>1168</v>
      </c>
      <c r="H188" s="57">
        <v>53</v>
      </c>
      <c r="I188" s="84" t="s">
        <v>1197</v>
      </c>
      <c r="J188" s="84" t="s">
        <v>1170</v>
      </c>
      <c r="K188" s="84" t="s">
        <v>1716</v>
      </c>
      <c r="L188" s="84" t="s">
        <v>1172</v>
      </c>
      <c r="M188" s="84"/>
      <c r="N188" s="84" t="s">
        <v>1172</v>
      </c>
      <c r="O188" s="84"/>
      <c r="P188" s="114" t="s">
        <v>1174</v>
      </c>
      <c r="Q188" s="84" t="s">
        <v>1175</v>
      </c>
      <c r="R188" s="84" t="s">
        <v>578</v>
      </c>
      <c r="S188" s="84"/>
      <c r="T188" s="84" t="s">
        <v>1177</v>
      </c>
      <c r="U188" s="84"/>
      <c r="V188" s="84"/>
      <c r="W188" s="84" t="s">
        <v>1177</v>
      </c>
      <c r="X188" s="84" t="s">
        <v>578</v>
      </c>
      <c r="Y188" s="84" t="s">
        <v>1717</v>
      </c>
      <c r="Z188" s="114" t="s">
        <v>1185</v>
      </c>
      <c r="AA188" s="84" t="s">
        <v>1172</v>
      </c>
      <c r="AB188" s="50"/>
      <c r="AC188" s="50"/>
      <c r="AD188" s="50"/>
      <c r="AE188" s="51"/>
      <c r="AJ188" s="78" t="s">
        <v>1718</v>
      </c>
      <c r="AL188">
        <v>31</v>
      </c>
    </row>
    <row r="189" spans="1:38">
      <c r="A189" s="45" t="s">
        <v>1000</v>
      </c>
      <c r="B189" s="120"/>
      <c r="C189" s="78" t="s">
        <v>1683</v>
      </c>
      <c r="D189" s="84" t="s">
        <v>1719</v>
      </c>
      <c r="E189" s="84" t="s">
        <v>85</v>
      </c>
      <c r="F189" s="84" t="s">
        <v>1720</v>
      </c>
      <c r="G189" s="84" t="s">
        <v>1721</v>
      </c>
      <c r="H189" s="57">
        <v>61</v>
      </c>
      <c r="I189" s="84" t="s">
        <v>1228</v>
      </c>
      <c r="J189" s="84" t="s">
        <v>1170</v>
      </c>
      <c r="K189" s="84" t="s">
        <v>1722</v>
      </c>
      <c r="L189" s="84" t="s">
        <v>1172</v>
      </c>
      <c r="M189" s="84"/>
      <c r="N189" s="84" t="s">
        <v>1172</v>
      </c>
      <c r="O189" s="84"/>
      <c r="P189" s="114" t="s">
        <v>1276</v>
      </c>
      <c r="Q189" s="84" t="s">
        <v>1175</v>
      </c>
      <c r="R189" s="84" t="s">
        <v>1172</v>
      </c>
      <c r="S189" s="84"/>
      <c r="T189" s="84"/>
      <c r="U189" s="84"/>
      <c r="V189" s="84"/>
      <c r="W189" s="84" t="s">
        <v>1199</v>
      </c>
      <c r="X189" s="84" t="s">
        <v>1172</v>
      </c>
      <c r="Y189" s="84"/>
      <c r="Z189" s="114" t="s">
        <v>1201</v>
      </c>
      <c r="AA189" s="84" t="s">
        <v>1172</v>
      </c>
      <c r="AB189" s="50"/>
      <c r="AC189" s="50"/>
      <c r="AD189" s="50"/>
      <c r="AE189" s="51"/>
      <c r="AJ189" s="39" t="s">
        <v>1723</v>
      </c>
      <c r="AL189">
        <v>30</v>
      </c>
    </row>
    <row r="190" spans="1:38">
      <c r="A190" s="45" t="s">
        <v>1004</v>
      </c>
      <c r="B190" s="120"/>
      <c r="C190" s="39" t="s">
        <v>1686</v>
      </c>
      <c r="D190" s="84" t="s">
        <v>1686</v>
      </c>
      <c r="E190" s="84" t="s">
        <v>63</v>
      </c>
      <c r="F190" s="84" t="s">
        <v>1325</v>
      </c>
      <c r="G190" s="84" t="s">
        <v>1345</v>
      </c>
      <c r="H190" s="57">
        <v>52</v>
      </c>
      <c r="I190" s="84" t="s">
        <v>1197</v>
      </c>
      <c r="J190" s="84" t="s">
        <v>1170</v>
      </c>
      <c r="K190" s="84" t="s">
        <v>1671</v>
      </c>
      <c r="L190" s="84" t="s">
        <v>1172</v>
      </c>
      <c r="M190" s="84"/>
      <c r="N190" s="84" t="s">
        <v>1172</v>
      </c>
      <c r="O190" s="84"/>
      <c r="P190" s="114" t="s">
        <v>1199</v>
      </c>
      <c r="Q190" s="84" t="s">
        <v>1175</v>
      </c>
      <c r="R190" s="84" t="s">
        <v>578</v>
      </c>
      <c r="S190" s="84" t="s">
        <v>1177</v>
      </c>
      <c r="T190" s="84" t="s">
        <v>1177</v>
      </c>
      <c r="U190" s="84"/>
      <c r="V190" s="84"/>
      <c r="W190" s="84" t="s">
        <v>1174</v>
      </c>
      <c r="X190" s="84" t="s">
        <v>1172</v>
      </c>
      <c r="Y190" s="84"/>
      <c r="Z190" s="114" t="s">
        <v>1201</v>
      </c>
      <c r="AA190" s="84" t="s">
        <v>1172</v>
      </c>
      <c r="AB190" s="50"/>
      <c r="AC190" s="50"/>
      <c r="AD190" s="50"/>
      <c r="AE190" s="51"/>
      <c r="AJ190" s="39" t="s">
        <v>1724</v>
      </c>
      <c r="AL190">
        <v>29</v>
      </c>
    </row>
    <row r="191" spans="1:38">
      <c r="A191" s="45" t="s">
        <v>1007</v>
      </c>
      <c r="B191" s="120"/>
      <c r="C191" s="39" t="s">
        <v>1690</v>
      </c>
      <c r="D191" s="84" t="s">
        <v>1725</v>
      </c>
      <c r="E191" s="84" t="s">
        <v>63</v>
      </c>
      <c r="F191" s="84" t="s">
        <v>1336</v>
      </c>
      <c r="G191" s="84" t="s">
        <v>1408</v>
      </c>
      <c r="H191" s="57">
        <v>53</v>
      </c>
      <c r="I191" s="84" t="s">
        <v>1228</v>
      </c>
      <c r="J191" s="84" t="s">
        <v>1170</v>
      </c>
      <c r="K191" s="84" t="s">
        <v>1726</v>
      </c>
      <c r="L191" s="84" t="s">
        <v>1172</v>
      </c>
      <c r="M191" s="84"/>
      <c r="N191" s="84" t="s">
        <v>1172</v>
      </c>
      <c r="O191" s="84"/>
      <c r="P191" s="114" t="s">
        <v>1174</v>
      </c>
      <c r="Q191" s="84" t="s">
        <v>1175</v>
      </c>
      <c r="R191" s="84" t="s">
        <v>578</v>
      </c>
      <c r="S191" s="84"/>
      <c r="T191" s="84" t="s">
        <v>1177</v>
      </c>
      <c r="U191" s="84"/>
      <c r="V191" s="84"/>
      <c r="W191" s="84" t="s">
        <v>1174</v>
      </c>
      <c r="X191" s="84" t="s">
        <v>1172</v>
      </c>
      <c r="Y191" s="84"/>
      <c r="Z191" s="114" t="s">
        <v>1185</v>
      </c>
      <c r="AA191" s="84" t="s">
        <v>1172</v>
      </c>
      <c r="AB191" s="50"/>
      <c r="AC191" s="50"/>
      <c r="AD191" s="50"/>
      <c r="AE191" s="51"/>
      <c r="AJ191" s="39" t="s">
        <v>1727</v>
      </c>
      <c r="AL191">
        <v>28</v>
      </c>
    </row>
    <row r="192" spans="1:38">
      <c r="A192" s="45" t="s">
        <v>1014</v>
      </c>
      <c r="B192" s="120"/>
      <c r="C192" s="39" t="s">
        <v>1697</v>
      </c>
      <c r="D192" s="84" t="s">
        <v>1728</v>
      </c>
      <c r="E192" s="84" t="s">
        <v>63</v>
      </c>
      <c r="F192" s="84" t="s">
        <v>1729</v>
      </c>
      <c r="G192" s="84" t="s">
        <v>1168</v>
      </c>
      <c r="H192" s="57">
        <v>1957</v>
      </c>
      <c r="I192" s="84" t="s">
        <v>1543</v>
      </c>
      <c r="J192" s="84" t="s">
        <v>1170</v>
      </c>
      <c r="K192" s="84" t="s">
        <v>1730</v>
      </c>
      <c r="L192" s="84" t="s">
        <v>1172</v>
      </c>
      <c r="M192" s="84"/>
      <c r="N192" s="84" t="s">
        <v>1172</v>
      </c>
      <c r="O192" s="84"/>
      <c r="P192" s="114" t="s">
        <v>1199</v>
      </c>
      <c r="Q192" s="84" t="s">
        <v>1175</v>
      </c>
      <c r="R192" s="84" t="s">
        <v>1172</v>
      </c>
      <c r="S192" s="84"/>
      <c r="T192" s="84"/>
      <c r="U192" s="84"/>
      <c r="V192" s="84"/>
      <c r="W192" s="84" t="s">
        <v>1174</v>
      </c>
      <c r="X192" s="84" t="s">
        <v>1172</v>
      </c>
      <c r="Y192" s="84"/>
      <c r="Z192" s="114" t="s">
        <v>1201</v>
      </c>
      <c r="AA192" s="84" t="s">
        <v>1172</v>
      </c>
      <c r="AB192" s="50"/>
      <c r="AC192" s="50"/>
      <c r="AD192" s="51"/>
      <c r="AE192" s="51"/>
      <c r="AJ192" s="39" t="s">
        <v>1731</v>
      </c>
      <c r="AL192">
        <v>27</v>
      </c>
    </row>
    <row r="193" spans="1:38">
      <c r="A193" s="45" t="s">
        <v>1019</v>
      </c>
      <c r="B193" s="120"/>
      <c r="C193" s="39" t="s">
        <v>1702</v>
      </c>
      <c r="D193" s="84" t="s">
        <v>1732</v>
      </c>
      <c r="E193" s="84" t="s">
        <v>63</v>
      </c>
      <c r="F193" s="84" t="s">
        <v>1733</v>
      </c>
      <c r="G193" s="84" t="s">
        <v>1734</v>
      </c>
      <c r="H193" s="57">
        <v>50</v>
      </c>
      <c r="I193" s="84" t="s">
        <v>1228</v>
      </c>
      <c r="J193" s="84" t="s">
        <v>1170</v>
      </c>
      <c r="K193" s="84" t="s">
        <v>1261</v>
      </c>
      <c r="L193" s="84" t="s">
        <v>1172</v>
      </c>
      <c r="M193" s="84"/>
      <c r="N193" s="84" t="s">
        <v>1172</v>
      </c>
      <c r="O193" s="84"/>
      <c r="P193" s="114" t="s">
        <v>1174</v>
      </c>
      <c r="Q193" s="84" t="s">
        <v>1175</v>
      </c>
      <c r="R193" s="84" t="s">
        <v>1172</v>
      </c>
      <c r="S193" s="84"/>
      <c r="T193" s="84"/>
      <c r="U193" s="84"/>
      <c r="V193" s="84"/>
      <c r="W193" s="84" t="s">
        <v>1174</v>
      </c>
      <c r="X193" s="84" t="s">
        <v>1172</v>
      </c>
      <c r="Y193" s="84"/>
      <c r="Z193" s="114" t="s">
        <v>1178</v>
      </c>
      <c r="AA193" s="84" t="s">
        <v>1172</v>
      </c>
      <c r="AB193" s="50"/>
      <c r="AC193" s="50"/>
      <c r="AD193" s="51"/>
      <c r="AE193" s="51"/>
      <c r="AJ193" s="39" t="s">
        <v>1735</v>
      </c>
      <c r="AL193">
        <v>26</v>
      </c>
    </row>
    <row r="194" spans="1:38">
      <c r="A194" s="45" t="s">
        <v>1023</v>
      </c>
      <c r="B194" s="120"/>
      <c r="C194" s="39" t="s">
        <v>1705</v>
      </c>
      <c r="D194" s="84" t="s">
        <v>1705</v>
      </c>
      <c r="E194" s="84" t="s">
        <v>85</v>
      </c>
      <c r="F194" s="84" t="s">
        <v>1736</v>
      </c>
      <c r="G194" s="84" t="s">
        <v>1408</v>
      </c>
      <c r="H194" s="57">
        <v>43</v>
      </c>
      <c r="I194" s="84" t="s">
        <v>1197</v>
      </c>
      <c r="J194" s="84" t="s">
        <v>1170</v>
      </c>
      <c r="K194" s="84" t="s">
        <v>1261</v>
      </c>
      <c r="L194" s="84" t="s">
        <v>1172</v>
      </c>
      <c r="M194" s="84"/>
      <c r="N194" s="84" t="s">
        <v>1172</v>
      </c>
      <c r="O194" s="84"/>
      <c r="P194" s="114" t="s">
        <v>1174</v>
      </c>
      <c r="Q194" s="84" t="s">
        <v>1175</v>
      </c>
      <c r="R194" s="84" t="s">
        <v>1172</v>
      </c>
      <c r="S194" s="84"/>
      <c r="T194" s="84"/>
      <c r="U194" s="84"/>
      <c r="V194" s="84"/>
      <c r="W194" s="84" t="s">
        <v>1174</v>
      </c>
      <c r="X194" s="84" t="s">
        <v>1172</v>
      </c>
      <c r="Y194" s="84"/>
      <c r="Z194" s="114" t="s">
        <v>1178</v>
      </c>
      <c r="AA194" s="84" t="s">
        <v>1172</v>
      </c>
      <c r="AB194" s="50"/>
      <c r="AC194" s="50"/>
      <c r="AD194" s="51"/>
      <c r="AE194" s="51"/>
      <c r="AJ194" s="39" t="s">
        <v>1737</v>
      </c>
      <c r="AL194">
        <v>25</v>
      </c>
    </row>
    <row r="195" spans="1:38">
      <c r="A195" s="45" t="s">
        <v>1027</v>
      </c>
      <c r="B195" s="120"/>
      <c r="C195" s="39" t="s">
        <v>1707</v>
      </c>
      <c r="D195" s="84" t="s">
        <v>1738</v>
      </c>
      <c r="E195" s="84" t="s">
        <v>63</v>
      </c>
      <c r="F195" s="84" t="s">
        <v>1400</v>
      </c>
      <c r="G195" s="84" t="s">
        <v>1537</v>
      </c>
      <c r="H195" s="57">
        <v>54</v>
      </c>
      <c r="I195" s="84" t="s">
        <v>1228</v>
      </c>
      <c r="J195" s="84" t="s">
        <v>1183</v>
      </c>
      <c r="K195" s="84" t="s">
        <v>1739</v>
      </c>
      <c r="L195" s="84" t="s">
        <v>1172</v>
      </c>
      <c r="M195" s="84"/>
      <c r="N195" s="84" t="s">
        <v>1172</v>
      </c>
      <c r="O195" s="84"/>
      <c r="P195" s="114" t="s">
        <v>1174</v>
      </c>
      <c r="Q195" s="84" t="s">
        <v>1175</v>
      </c>
      <c r="R195" s="84" t="s">
        <v>1172</v>
      </c>
      <c r="S195" s="84"/>
      <c r="T195" s="84"/>
      <c r="U195" s="84"/>
      <c r="V195" s="84"/>
      <c r="W195" s="84" t="s">
        <v>1174</v>
      </c>
      <c r="X195" s="84" t="s">
        <v>578</v>
      </c>
      <c r="Y195" s="84" t="s">
        <v>1740</v>
      </c>
      <c r="Z195" s="114" t="s">
        <v>1207</v>
      </c>
      <c r="AA195" s="84" t="s">
        <v>1172</v>
      </c>
      <c r="AB195" s="50"/>
      <c r="AC195" s="50"/>
      <c r="AD195" s="51"/>
      <c r="AE195" s="51"/>
      <c r="AJ195" s="39" t="s">
        <v>1328</v>
      </c>
      <c r="AL195">
        <v>24</v>
      </c>
    </row>
    <row r="196" spans="1:38">
      <c r="A196" s="45" t="s">
        <v>1030</v>
      </c>
      <c r="B196" s="120"/>
      <c r="C196" s="78" t="s">
        <v>1711</v>
      </c>
      <c r="D196" s="84" t="s">
        <v>1711</v>
      </c>
      <c r="E196" s="84" t="s">
        <v>85</v>
      </c>
      <c r="F196" s="84" t="s">
        <v>1423</v>
      </c>
      <c r="G196" s="84" t="s">
        <v>1436</v>
      </c>
      <c r="H196" s="57">
        <v>43</v>
      </c>
      <c r="I196" s="84" t="s">
        <v>1197</v>
      </c>
      <c r="J196" s="84" t="s">
        <v>1170</v>
      </c>
      <c r="K196" s="84" t="s">
        <v>1192</v>
      </c>
      <c r="L196" s="84" t="s">
        <v>1172</v>
      </c>
      <c r="M196" s="84"/>
      <c r="N196" s="84" t="s">
        <v>1172</v>
      </c>
      <c r="O196" s="84"/>
      <c r="P196" s="114" t="s">
        <v>1177</v>
      </c>
      <c r="Q196" s="84" t="s">
        <v>1175</v>
      </c>
      <c r="R196" s="84" t="s">
        <v>1172</v>
      </c>
      <c r="S196" s="84"/>
      <c r="T196" s="84"/>
      <c r="U196" s="84"/>
      <c r="V196" s="84"/>
      <c r="W196" s="84" t="s">
        <v>1174</v>
      </c>
      <c r="X196" s="84" t="s">
        <v>1172</v>
      </c>
      <c r="Y196" s="84"/>
      <c r="Z196" s="114" t="s">
        <v>1185</v>
      </c>
      <c r="AA196" s="84" t="s">
        <v>1172</v>
      </c>
      <c r="AB196" s="51"/>
      <c r="AC196" s="51"/>
      <c r="AD196" s="51"/>
      <c r="AE196" s="51"/>
      <c r="AJ196" s="50" t="s">
        <v>1741</v>
      </c>
      <c r="AL196">
        <v>23</v>
      </c>
    </row>
    <row r="197" spans="1:38">
      <c r="A197" s="45" t="s">
        <v>1036</v>
      </c>
      <c r="B197" s="120"/>
      <c r="C197" s="78" t="s">
        <v>1714</v>
      </c>
      <c r="D197" s="84" t="s">
        <v>1742</v>
      </c>
      <c r="E197" s="84" t="s">
        <v>85</v>
      </c>
      <c r="F197" s="84" t="s">
        <v>1743</v>
      </c>
      <c r="G197" s="84" t="s">
        <v>1744</v>
      </c>
      <c r="H197" s="57">
        <v>44</v>
      </c>
      <c r="I197" s="84" t="s">
        <v>1228</v>
      </c>
      <c r="J197" s="84" t="s">
        <v>1170</v>
      </c>
      <c r="K197" s="84" t="s">
        <v>1192</v>
      </c>
      <c r="L197" s="84" t="s">
        <v>1172</v>
      </c>
      <c r="M197" s="84"/>
      <c r="N197" s="84" t="s">
        <v>1172</v>
      </c>
      <c r="O197" s="84"/>
      <c r="P197" s="114" t="s">
        <v>1174</v>
      </c>
      <c r="Q197" s="84" t="s">
        <v>1175</v>
      </c>
      <c r="R197" s="84" t="s">
        <v>1172</v>
      </c>
      <c r="S197" s="84"/>
      <c r="T197" s="84"/>
      <c r="U197" s="84"/>
      <c r="V197" s="84"/>
      <c r="W197" s="84" t="s">
        <v>1174</v>
      </c>
      <c r="X197" s="84" t="s">
        <v>1172</v>
      </c>
      <c r="Y197" s="84"/>
      <c r="Z197" s="114" t="s">
        <v>1178</v>
      </c>
      <c r="AA197" s="84" t="s">
        <v>578</v>
      </c>
      <c r="AB197" s="50"/>
      <c r="AC197" s="50"/>
      <c r="AD197" s="50"/>
      <c r="AE197" s="51"/>
      <c r="AJ197" s="39" t="s">
        <v>1745</v>
      </c>
      <c r="AL197">
        <v>22</v>
      </c>
    </row>
    <row r="198" spans="1:38">
      <c r="A198" s="45" t="s">
        <v>1039</v>
      </c>
      <c r="B198" s="120"/>
      <c r="C198" s="78" t="s">
        <v>1718</v>
      </c>
      <c r="D198" s="84" t="s">
        <v>1718</v>
      </c>
      <c r="E198" s="84" t="s">
        <v>85</v>
      </c>
      <c r="F198" s="84" t="s">
        <v>1400</v>
      </c>
      <c r="G198" s="84" t="s">
        <v>1389</v>
      </c>
      <c r="H198" s="57">
        <v>55</v>
      </c>
      <c r="I198" s="84" t="s">
        <v>1543</v>
      </c>
      <c r="J198" s="84" t="s">
        <v>1170</v>
      </c>
      <c r="K198" s="84" t="s">
        <v>1269</v>
      </c>
      <c r="L198" s="84" t="s">
        <v>1172</v>
      </c>
      <c r="M198" s="84"/>
      <c r="N198" s="84" t="s">
        <v>1172</v>
      </c>
      <c r="O198" s="84"/>
      <c r="P198" s="114" t="s">
        <v>1174</v>
      </c>
      <c r="Q198" s="84" t="s">
        <v>1175</v>
      </c>
      <c r="R198" s="84" t="s">
        <v>578</v>
      </c>
      <c r="S198" s="84"/>
      <c r="T198" s="84" t="s">
        <v>1177</v>
      </c>
      <c r="U198" s="84"/>
      <c r="V198" s="84"/>
      <c r="W198" s="84" t="s">
        <v>1174</v>
      </c>
      <c r="X198" s="84" t="s">
        <v>578</v>
      </c>
      <c r="Y198" s="84" t="s">
        <v>1497</v>
      </c>
      <c r="Z198" s="114" t="s">
        <v>1185</v>
      </c>
      <c r="AA198" s="84" t="s">
        <v>578</v>
      </c>
      <c r="AB198" s="50"/>
      <c r="AC198" s="50"/>
      <c r="AD198" s="50"/>
      <c r="AE198" s="51"/>
      <c r="AJ198" s="39" t="s">
        <v>1746</v>
      </c>
      <c r="AL198">
        <v>21</v>
      </c>
    </row>
    <row r="199" spans="1:38">
      <c r="A199" s="45" t="s">
        <v>1041</v>
      </c>
      <c r="B199" s="120"/>
      <c r="C199" s="39" t="s">
        <v>1723</v>
      </c>
      <c r="D199" s="84" t="s">
        <v>1723</v>
      </c>
      <c r="E199" s="84" t="s">
        <v>85</v>
      </c>
      <c r="F199" s="84" t="s">
        <v>1167</v>
      </c>
      <c r="G199" s="84" t="s">
        <v>1699</v>
      </c>
      <c r="H199" s="57">
        <v>58</v>
      </c>
      <c r="I199" s="84" t="s">
        <v>1228</v>
      </c>
      <c r="J199" s="84" t="s">
        <v>1170</v>
      </c>
      <c r="K199" s="84" t="s">
        <v>1261</v>
      </c>
      <c r="L199" s="84" t="s">
        <v>1172</v>
      </c>
      <c r="M199" s="84"/>
      <c r="N199" s="84" t="s">
        <v>1172</v>
      </c>
      <c r="O199" s="84"/>
      <c r="P199" s="114" t="s">
        <v>1199</v>
      </c>
      <c r="Q199" s="84" t="s">
        <v>1175</v>
      </c>
      <c r="R199" s="84" t="s">
        <v>578</v>
      </c>
      <c r="S199" s="84" t="s">
        <v>1747</v>
      </c>
      <c r="T199" s="84" t="s">
        <v>1177</v>
      </c>
      <c r="U199" s="84"/>
      <c r="V199" s="84"/>
      <c r="W199" s="84" t="s">
        <v>1174</v>
      </c>
      <c r="X199" s="84" t="s">
        <v>1172</v>
      </c>
      <c r="Y199" s="84"/>
      <c r="Z199" s="114" t="s">
        <v>1201</v>
      </c>
      <c r="AA199" s="84" t="s">
        <v>1172</v>
      </c>
      <c r="AB199" s="50"/>
      <c r="AC199" s="50"/>
      <c r="AD199" s="51"/>
      <c r="AE199" s="51"/>
      <c r="AJ199" s="39" t="s">
        <v>1748</v>
      </c>
      <c r="AL199">
        <v>20</v>
      </c>
    </row>
    <row r="200" spans="1:38">
      <c r="A200" s="45" t="s">
        <v>1047</v>
      </c>
      <c r="B200" s="120"/>
      <c r="C200" s="39" t="s">
        <v>1724</v>
      </c>
      <c r="D200" s="84" t="s">
        <v>1724</v>
      </c>
      <c r="E200" s="84" t="s">
        <v>63</v>
      </c>
      <c r="F200" s="84" t="s">
        <v>1407</v>
      </c>
      <c r="G200" s="84" t="s">
        <v>1345</v>
      </c>
      <c r="H200" s="57">
        <v>59</v>
      </c>
      <c r="I200" s="84" t="s">
        <v>1228</v>
      </c>
      <c r="J200" s="84" t="s">
        <v>1170</v>
      </c>
      <c r="K200" s="84" t="s">
        <v>1302</v>
      </c>
      <c r="L200" s="84" t="s">
        <v>1172</v>
      </c>
      <c r="M200" s="84"/>
      <c r="N200" s="84" t="s">
        <v>1172</v>
      </c>
      <c r="O200" s="84"/>
      <c r="P200" s="114" t="s">
        <v>1199</v>
      </c>
      <c r="Q200" s="84" t="s">
        <v>1175</v>
      </c>
      <c r="R200" s="84" t="s">
        <v>578</v>
      </c>
      <c r="S200" s="84" t="s">
        <v>1749</v>
      </c>
      <c r="T200" s="84" t="s">
        <v>1177</v>
      </c>
      <c r="U200" s="84"/>
      <c r="V200" s="84"/>
      <c r="W200" s="84" t="s">
        <v>1174</v>
      </c>
      <c r="X200" s="84" t="s">
        <v>1172</v>
      </c>
      <c r="Y200" s="84"/>
      <c r="Z200" s="114" t="s">
        <v>1201</v>
      </c>
      <c r="AA200" s="84" t="s">
        <v>578</v>
      </c>
      <c r="AB200" s="50"/>
      <c r="AC200" s="50"/>
      <c r="AD200" s="50"/>
      <c r="AE200" s="51"/>
      <c r="AJ200" s="39" t="s">
        <v>1332</v>
      </c>
      <c r="AL200">
        <v>19</v>
      </c>
    </row>
    <row r="201" spans="1:38">
      <c r="A201" s="45" t="s">
        <v>1051</v>
      </c>
      <c r="B201" s="120"/>
      <c r="C201" s="39" t="s">
        <v>1727</v>
      </c>
      <c r="D201" s="84" t="s">
        <v>1727</v>
      </c>
      <c r="E201" s="84" t="s">
        <v>63</v>
      </c>
      <c r="F201" s="84" t="s">
        <v>1365</v>
      </c>
      <c r="G201" s="84" t="s">
        <v>1415</v>
      </c>
      <c r="H201" s="57">
        <v>48</v>
      </c>
      <c r="I201" s="84" t="s">
        <v>1169</v>
      </c>
      <c r="J201" s="84" t="s">
        <v>1170</v>
      </c>
      <c r="K201" s="84" t="s">
        <v>1184</v>
      </c>
      <c r="L201" s="84" t="s">
        <v>1172</v>
      </c>
      <c r="M201" s="84"/>
      <c r="N201" s="84" t="s">
        <v>1172</v>
      </c>
      <c r="O201" s="84"/>
      <c r="P201" s="114" t="s">
        <v>1177</v>
      </c>
      <c r="Q201" s="84" t="s">
        <v>1175</v>
      </c>
      <c r="R201" s="84" t="s">
        <v>1172</v>
      </c>
      <c r="S201" s="84"/>
      <c r="T201" s="84"/>
      <c r="U201" s="84"/>
      <c r="V201" s="84"/>
      <c r="W201" s="84" t="s">
        <v>1174</v>
      </c>
      <c r="X201" s="84" t="s">
        <v>1172</v>
      </c>
      <c r="Y201" s="84"/>
      <c r="Z201" s="114" t="s">
        <v>1207</v>
      </c>
      <c r="AA201" s="84" t="s">
        <v>578</v>
      </c>
      <c r="AB201" s="50"/>
      <c r="AC201" s="50"/>
      <c r="AD201" s="50"/>
      <c r="AE201" s="51"/>
      <c r="AJ201" s="39" t="s">
        <v>1334</v>
      </c>
      <c r="AL201">
        <v>18</v>
      </c>
    </row>
    <row r="202" spans="1:38">
      <c r="A202" s="45" t="s">
        <v>1055</v>
      </c>
      <c r="B202" s="120"/>
      <c r="C202" s="39" t="s">
        <v>1731</v>
      </c>
      <c r="D202" s="84" t="s">
        <v>1731</v>
      </c>
      <c r="E202" s="84" t="s">
        <v>63</v>
      </c>
      <c r="F202" s="84" t="s">
        <v>1336</v>
      </c>
      <c r="G202" s="84" t="s">
        <v>1401</v>
      </c>
      <c r="H202" s="57">
        <v>45</v>
      </c>
      <c r="I202" s="84" t="s">
        <v>1197</v>
      </c>
      <c r="J202" s="84" t="s">
        <v>1170</v>
      </c>
      <c r="K202" s="84" t="s">
        <v>1302</v>
      </c>
      <c r="L202" s="84" t="s">
        <v>1172</v>
      </c>
      <c r="M202" s="84"/>
      <c r="N202" s="84" t="s">
        <v>1172</v>
      </c>
      <c r="O202" s="84"/>
      <c r="P202" s="114" t="s">
        <v>1177</v>
      </c>
      <c r="Q202" s="84" t="s">
        <v>1175</v>
      </c>
      <c r="R202" s="84" t="s">
        <v>1172</v>
      </c>
      <c r="S202" s="84"/>
      <c r="T202" s="84"/>
      <c r="U202" s="84"/>
      <c r="V202" s="84"/>
      <c r="W202" s="84" t="s">
        <v>1177</v>
      </c>
      <c r="X202" s="84" t="s">
        <v>1172</v>
      </c>
      <c r="Y202" s="84"/>
      <c r="Z202" s="114" t="s">
        <v>1207</v>
      </c>
      <c r="AA202" s="84" t="s">
        <v>578</v>
      </c>
      <c r="AB202" s="50"/>
      <c r="AC202" s="50"/>
      <c r="AD202" s="50"/>
      <c r="AE202" s="51"/>
      <c r="AJ202" s="39" t="s">
        <v>1750</v>
      </c>
      <c r="AL202">
        <v>17</v>
      </c>
    </row>
    <row r="203" spans="1:38">
      <c r="A203" s="45" t="s">
        <v>1058</v>
      </c>
      <c r="B203" s="120"/>
      <c r="C203" s="39" t="s">
        <v>1735</v>
      </c>
      <c r="D203" s="84" t="s">
        <v>1735</v>
      </c>
      <c r="E203" s="84" t="s">
        <v>63</v>
      </c>
      <c r="F203" s="84" t="s">
        <v>1729</v>
      </c>
      <c r="G203" s="84" t="s">
        <v>1447</v>
      </c>
      <c r="H203" s="57">
        <v>54</v>
      </c>
      <c r="I203" s="84" t="s">
        <v>1197</v>
      </c>
      <c r="J203" s="84" t="s">
        <v>1170</v>
      </c>
      <c r="K203" s="84" t="s">
        <v>1192</v>
      </c>
      <c r="L203" s="84" t="s">
        <v>1172</v>
      </c>
      <c r="M203" s="84"/>
      <c r="N203" s="84" t="s">
        <v>1172</v>
      </c>
      <c r="O203" s="84"/>
      <c r="P203" s="114" t="s">
        <v>1199</v>
      </c>
      <c r="Q203" s="84" t="s">
        <v>1175</v>
      </c>
      <c r="R203" s="84" t="s">
        <v>1172</v>
      </c>
      <c r="S203" s="84"/>
      <c r="T203" s="84"/>
      <c r="U203" s="84"/>
      <c r="V203" s="84"/>
      <c r="W203" s="84" t="s">
        <v>1174</v>
      </c>
      <c r="X203" s="84" t="s">
        <v>1172</v>
      </c>
      <c r="Y203" s="84"/>
      <c r="Z203" s="114" t="s">
        <v>1185</v>
      </c>
      <c r="AA203" s="84" t="s">
        <v>578</v>
      </c>
      <c r="AB203" s="50"/>
      <c r="AC203" s="50"/>
      <c r="AD203" s="50"/>
      <c r="AE203" s="51"/>
      <c r="AJ203" s="39" t="s">
        <v>1751</v>
      </c>
      <c r="AL203">
        <v>16</v>
      </c>
    </row>
    <row r="204" spans="1:38">
      <c r="A204" s="45" t="s">
        <v>1061</v>
      </c>
      <c r="B204" s="120"/>
      <c r="C204" s="39" t="s">
        <v>1737</v>
      </c>
      <c r="D204" s="84" t="s">
        <v>1737</v>
      </c>
      <c r="E204" s="84" t="s">
        <v>85</v>
      </c>
      <c r="F204" s="84" t="s">
        <v>1361</v>
      </c>
      <c r="G204" s="84" t="s">
        <v>1752</v>
      </c>
      <c r="H204" s="57">
        <v>49</v>
      </c>
      <c r="I204" s="84" t="s">
        <v>1228</v>
      </c>
      <c r="J204" s="84" t="s">
        <v>1170</v>
      </c>
      <c r="K204" s="84" t="s">
        <v>1192</v>
      </c>
      <c r="L204" s="84" t="s">
        <v>1172</v>
      </c>
      <c r="M204" s="84"/>
      <c r="N204" s="84" t="s">
        <v>1172</v>
      </c>
      <c r="O204" s="84"/>
      <c r="P204" s="114" t="s">
        <v>1199</v>
      </c>
      <c r="Q204" s="84" t="s">
        <v>1175</v>
      </c>
      <c r="R204" s="84" t="s">
        <v>578</v>
      </c>
      <c r="S204" s="84"/>
      <c r="T204" s="84" t="s">
        <v>1177</v>
      </c>
      <c r="U204" s="84"/>
      <c r="V204" s="84"/>
      <c r="W204" s="84" t="s">
        <v>1174</v>
      </c>
      <c r="X204" s="84" t="s">
        <v>1172</v>
      </c>
      <c r="Y204" s="84"/>
      <c r="Z204" s="114" t="s">
        <v>1185</v>
      </c>
      <c r="AA204" s="84" t="s">
        <v>578</v>
      </c>
      <c r="AB204" s="50"/>
      <c r="AC204" s="50"/>
      <c r="AD204" s="50"/>
      <c r="AE204" s="51"/>
      <c r="AJ204" s="39" t="s">
        <v>1339</v>
      </c>
      <c r="AL204">
        <v>15</v>
      </c>
    </row>
    <row r="205" spans="1:38">
      <c r="A205" s="45" t="s">
        <v>1068</v>
      </c>
      <c r="B205" s="120"/>
      <c r="C205" s="50" t="s">
        <v>1741</v>
      </c>
      <c r="D205" s="84" t="s">
        <v>1741</v>
      </c>
      <c r="E205" s="84" t="s">
        <v>63</v>
      </c>
      <c r="F205" s="84" t="s">
        <v>1417</v>
      </c>
      <c r="G205" s="84" t="s">
        <v>1196</v>
      </c>
      <c r="H205" s="57">
        <v>49</v>
      </c>
      <c r="I205" s="84" t="s">
        <v>1228</v>
      </c>
      <c r="J205" s="84" t="s">
        <v>1170</v>
      </c>
      <c r="K205" s="84" t="s">
        <v>1261</v>
      </c>
      <c r="L205" s="84" t="s">
        <v>1172</v>
      </c>
      <c r="M205" s="84"/>
      <c r="N205" s="84" t="s">
        <v>1172</v>
      </c>
      <c r="O205" s="84"/>
      <c r="P205" s="114" t="s">
        <v>1199</v>
      </c>
      <c r="Q205" s="84" t="s">
        <v>1238</v>
      </c>
      <c r="R205" s="84" t="s">
        <v>1172</v>
      </c>
      <c r="S205" s="84"/>
      <c r="T205" s="84"/>
      <c r="U205" s="84"/>
      <c r="V205" s="84"/>
      <c r="W205" s="84" t="s">
        <v>1174</v>
      </c>
      <c r="X205" s="84" t="s">
        <v>578</v>
      </c>
      <c r="Y205" s="84" t="s">
        <v>1753</v>
      </c>
      <c r="Z205" s="114" t="s">
        <v>1185</v>
      </c>
      <c r="AA205" s="84" t="s">
        <v>1172</v>
      </c>
      <c r="AB205" s="50"/>
      <c r="AC205" s="50"/>
      <c r="AD205" s="51"/>
      <c r="AE205" s="51"/>
      <c r="AJ205" s="39" t="s">
        <v>1342</v>
      </c>
      <c r="AL205">
        <v>14</v>
      </c>
    </row>
    <row r="206" spans="1:38">
      <c r="A206" s="45" t="s">
        <v>1071</v>
      </c>
      <c r="B206" s="120"/>
      <c r="C206" s="39" t="s">
        <v>1745</v>
      </c>
      <c r="D206" s="84" t="s">
        <v>1745</v>
      </c>
      <c r="E206" s="84" t="s">
        <v>63</v>
      </c>
      <c r="F206" s="84" t="s">
        <v>1344</v>
      </c>
      <c r="G206" s="84" t="s">
        <v>1350</v>
      </c>
      <c r="H206" s="57">
        <v>44</v>
      </c>
      <c r="I206" s="84" t="s">
        <v>1232</v>
      </c>
      <c r="J206" s="84" t="s">
        <v>1170</v>
      </c>
      <c r="K206" s="84" t="s">
        <v>1484</v>
      </c>
      <c r="L206" s="84" t="s">
        <v>1172</v>
      </c>
      <c r="M206" s="84"/>
      <c r="N206" s="84" t="s">
        <v>1172</v>
      </c>
      <c r="O206" s="84"/>
      <c r="P206" s="114" t="s">
        <v>1174</v>
      </c>
      <c r="Q206" s="84" t="s">
        <v>1175</v>
      </c>
      <c r="R206" s="84" t="s">
        <v>1172</v>
      </c>
      <c r="S206" s="84"/>
      <c r="T206" s="84"/>
      <c r="U206" s="84"/>
      <c r="V206" s="84"/>
      <c r="W206" s="84" t="s">
        <v>1177</v>
      </c>
      <c r="X206" s="84" t="s">
        <v>1172</v>
      </c>
      <c r="Y206" s="84"/>
      <c r="Z206" s="114" t="s">
        <v>1201</v>
      </c>
      <c r="AA206" s="84" t="s">
        <v>1172</v>
      </c>
      <c r="AB206" s="50"/>
      <c r="AC206" s="50"/>
      <c r="AD206" s="51"/>
      <c r="AE206" s="51"/>
      <c r="AJ206" s="39" t="s">
        <v>1754</v>
      </c>
      <c r="AL206">
        <v>13</v>
      </c>
    </row>
    <row r="207" spans="1:38">
      <c r="A207" s="45" t="s">
        <v>1076</v>
      </c>
      <c r="B207" s="120"/>
      <c r="C207" s="39" t="s">
        <v>1746</v>
      </c>
      <c r="D207" s="84" t="s">
        <v>1746</v>
      </c>
      <c r="E207" s="84" t="s">
        <v>63</v>
      </c>
      <c r="F207" s="84" t="s">
        <v>1407</v>
      </c>
      <c r="G207" s="84" t="s">
        <v>1755</v>
      </c>
      <c r="H207" s="57">
        <v>65</v>
      </c>
      <c r="I207" s="84" t="s">
        <v>1191</v>
      </c>
      <c r="J207" s="84" t="s">
        <v>1170</v>
      </c>
      <c r="K207" s="84" t="s">
        <v>1221</v>
      </c>
      <c r="L207" s="84" t="s">
        <v>1172</v>
      </c>
      <c r="M207" s="84"/>
      <c r="N207" s="84" t="s">
        <v>1172</v>
      </c>
      <c r="O207" s="84"/>
      <c r="P207" s="114" t="s">
        <v>1174</v>
      </c>
      <c r="Q207" s="84" t="s">
        <v>1175</v>
      </c>
      <c r="R207" s="84" t="s">
        <v>1172</v>
      </c>
      <c r="S207" s="84"/>
      <c r="T207" s="84"/>
      <c r="U207" s="84"/>
      <c r="V207" s="84"/>
      <c r="W207" s="84" t="s">
        <v>1177</v>
      </c>
      <c r="X207" s="84" t="s">
        <v>1172</v>
      </c>
      <c r="Y207" s="84"/>
      <c r="Z207" s="114" t="s">
        <v>1201</v>
      </c>
      <c r="AA207" s="84" t="s">
        <v>1172</v>
      </c>
      <c r="AB207" s="50"/>
      <c r="AC207" s="50"/>
      <c r="AD207" s="51"/>
      <c r="AE207" s="51"/>
      <c r="AJ207" s="39" t="s">
        <v>1347</v>
      </c>
      <c r="AL207">
        <v>12</v>
      </c>
    </row>
    <row r="208" spans="1:38">
      <c r="A208" s="45" t="s">
        <v>1079</v>
      </c>
      <c r="B208" s="120"/>
      <c r="C208" s="39" t="s">
        <v>1748</v>
      </c>
      <c r="D208" s="84" t="s">
        <v>1756</v>
      </c>
      <c r="E208" s="84" t="s">
        <v>63</v>
      </c>
      <c r="F208" s="84" t="s">
        <v>1417</v>
      </c>
      <c r="G208" s="84" t="s">
        <v>1757</v>
      </c>
      <c r="H208" s="57">
        <v>42</v>
      </c>
      <c r="I208" s="84" t="s">
        <v>1197</v>
      </c>
      <c r="J208" s="84" t="s">
        <v>1170</v>
      </c>
      <c r="K208" s="84" t="s">
        <v>1184</v>
      </c>
      <c r="L208" s="84" t="s">
        <v>1172</v>
      </c>
      <c r="M208" s="84"/>
      <c r="N208" s="84" t="s">
        <v>1172</v>
      </c>
      <c r="O208" s="84"/>
      <c r="P208" s="114" t="s">
        <v>1174</v>
      </c>
      <c r="Q208" s="84" t="s">
        <v>1175</v>
      </c>
      <c r="R208" s="84" t="s">
        <v>1172</v>
      </c>
      <c r="S208" s="84"/>
      <c r="T208" s="84"/>
      <c r="U208" s="84"/>
      <c r="V208" s="84"/>
      <c r="W208" s="84" t="s">
        <v>1174</v>
      </c>
      <c r="X208" s="84" t="s">
        <v>578</v>
      </c>
      <c r="Y208" s="84" t="s">
        <v>1374</v>
      </c>
      <c r="Z208" s="114" t="s">
        <v>1185</v>
      </c>
      <c r="AA208" s="84" t="s">
        <v>578</v>
      </c>
      <c r="AB208" s="50"/>
      <c r="AC208" s="50"/>
      <c r="AD208" s="51"/>
      <c r="AE208" s="51"/>
      <c r="AJ208" s="39" t="s">
        <v>1353</v>
      </c>
      <c r="AL208">
        <v>11</v>
      </c>
    </row>
    <row r="209" spans="1:38">
      <c r="A209" s="45" t="s">
        <v>1086</v>
      </c>
      <c r="B209" s="120"/>
      <c r="C209" s="39" t="s">
        <v>1750</v>
      </c>
      <c r="D209" s="84" t="s">
        <v>1758</v>
      </c>
      <c r="E209" s="84" t="s">
        <v>63</v>
      </c>
      <c r="F209" s="84" t="s">
        <v>1729</v>
      </c>
      <c r="G209" s="84" t="s">
        <v>1181</v>
      </c>
      <c r="H209" s="57">
        <v>43</v>
      </c>
      <c r="I209" s="84" t="s">
        <v>1759</v>
      </c>
      <c r="J209" s="84" t="s">
        <v>1170</v>
      </c>
      <c r="K209" s="84" t="s">
        <v>1760</v>
      </c>
      <c r="L209" s="84" t="s">
        <v>1172</v>
      </c>
      <c r="M209" s="84"/>
      <c r="N209" s="84" t="s">
        <v>1172</v>
      </c>
      <c r="O209" s="84"/>
      <c r="P209" s="114" t="s">
        <v>1174</v>
      </c>
      <c r="Q209" s="84" t="s">
        <v>1175</v>
      </c>
      <c r="R209" s="84" t="s">
        <v>578</v>
      </c>
      <c r="S209" s="84" t="s">
        <v>1177</v>
      </c>
      <c r="T209" s="84" t="s">
        <v>1177</v>
      </c>
      <c r="U209" s="84"/>
      <c r="V209" s="84"/>
      <c r="W209" s="84" t="s">
        <v>1174</v>
      </c>
      <c r="X209" s="84" t="s">
        <v>578</v>
      </c>
      <c r="Y209" s="84" t="s">
        <v>1761</v>
      </c>
      <c r="Z209" s="114" t="s">
        <v>1207</v>
      </c>
      <c r="AA209" s="84" t="s">
        <v>578</v>
      </c>
      <c r="AB209" s="50"/>
      <c r="AC209" s="50"/>
      <c r="AD209" s="50"/>
      <c r="AE209" s="51"/>
      <c r="AJ209" s="39" t="s">
        <v>1762</v>
      </c>
      <c r="AL209">
        <v>10</v>
      </c>
    </row>
    <row r="210" spans="1:38">
      <c r="A210" s="45" t="s">
        <v>1088</v>
      </c>
      <c r="B210" s="120"/>
      <c r="C210" s="39" t="s">
        <v>1751</v>
      </c>
      <c r="D210" s="84" t="s">
        <v>1751</v>
      </c>
      <c r="E210" s="84" t="s">
        <v>63</v>
      </c>
      <c r="F210" s="84" t="s">
        <v>1203</v>
      </c>
      <c r="G210" s="84" t="s">
        <v>1415</v>
      </c>
      <c r="H210" s="57">
        <v>61</v>
      </c>
      <c r="I210" s="84" t="s">
        <v>1228</v>
      </c>
      <c r="J210" s="84" t="s">
        <v>1170</v>
      </c>
      <c r="K210" s="84" t="s">
        <v>1763</v>
      </c>
      <c r="L210" s="84" t="s">
        <v>1172</v>
      </c>
      <c r="M210" s="84"/>
      <c r="N210" s="84" t="s">
        <v>1172</v>
      </c>
      <c r="O210" s="84"/>
      <c r="P210" s="114" t="s">
        <v>1174</v>
      </c>
      <c r="Q210" s="84" t="s">
        <v>1175</v>
      </c>
      <c r="R210" s="84" t="s">
        <v>578</v>
      </c>
      <c r="S210" s="84" t="s">
        <v>1764</v>
      </c>
      <c r="T210" s="84" t="s">
        <v>1177</v>
      </c>
      <c r="U210" s="84"/>
      <c r="V210" s="84"/>
      <c r="W210" s="84" t="s">
        <v>1174</v>
      </c>
      <c r="X210" s="84" t="s">
        <v>578</v>
      </c>
      <c r="Y210" s="84" t="s">
        <v>1765</v>
      </c>
      <c r="Z210" s="114" t="s">
        <v>1201</v>
      </c>
      <c r="AA210" s="84" t="s">
        <v>578</v>
      </c>
      <c r="AB210" s="50"/>
      <c r="AC210" s="50"/>
      <c r="AD210" s="51"/>
      <c r="AE210" s="51"/>
      <c r="AJ210" s="39" t="s">
        <v>1355</v>
      </c>
      <c r="AL210">
        <v>9</v>
      </c>
    </row>
    <row r="211" spans="1:38">
      <c r="A211" s="45" t="s">
        <v>1101</v>
      </c>
      <c r="B211" s="120"/>
      <c r="C211" s="39" t="s">
        <v>1754</v>
      </c>
      <c r="D211" s="84" t="s">
        <v>1754</v>
      </c>
      <c r="E211" s="84" t="s">
        <v>63</v>
      </c>
      <c r="F211" s="84" t="s">
        <v>1195</v>
      </c>
      <c r="G211" s="84" t="s">
        <v>1699</v>
      </c>
      <c r="H211" s="57">
        <v>50</v>
      </c>
      <c r="I211" s="84" t="s">
        <v>1292</v>
      </c>
      <c r="J211" s="84" t="s">
        <v>1170</v>
      </c>
      <c r="K211" s="84" t="s">
        <v>1184</v>
      </c>
      <c r="L211" s="84" t="s">
        <v>1172</v>
      </c>
      <c r="M211" s="84"/>
      <c r="N211" s="84" t="s">
        <v>1172</v>
      </c>
      <c r="O211" s="84"/>
      <c r="P211" s="114" t="s">
        <v>1174</v>
      </c>
      <c r="Q211" s="84" t="s">
        <v>1175</v>
      </c>
      <c r="R211" s="84" t="s">
        <v>578</v>
      </c>
      <c r="S211" s="84"/>
      <c r="T211" s="84" t="s">
        <v>1177</v>
      </c>
      <c r="U211" s="84"/>
      <c r="V211" s="84"/>
      <c r="W211" s="84" t="s">
        <v>1174</v>
      </c>
      <c r="X211" s="84" t="s">
        <v>578</v>
      </c>
      <c r="Y211" s="84" t="s">
        <v>1766</v>
      </c>
      <c r="Z211" s="114" t="s">
        <v>1178</v>
      </c>
      <c r="AA211" s="84" t="s">
        <v>578</v>
      </c>
      <c r="AB211" s="50"/>
      <c r="AC211" s="50"/>
      <c r="AD211" s="51"/>
      <c r="AE211" s="51"/>
      <c r="AJ211" s="39" t="s">
        <v>1359</v>
      </c>
      <c r="AL211">
        <v>8</v>
      </c>
    </row>
    <row r="212" spans="1:38">
      <c r="A212" s="45" t="s">
        <v>1110</v>
      </c>
      <c r="B212" s="120"/>
      <c r="C212" s="39" t="s">
        <v>1762</v>
      </c>
      <c r="D212" s="39" t="s">
        <v>1762</v>
      </c>
      <c r="E212" s="84" t="s">
        <v>85</v>
      </c>
      <c r="F212" s="84" t="s">
        <v>1190</v>
      </c>
      <c r="G212" s="84" t="s">
        <v>1703</v>
      </c>
      <c r="H212" s="57">
        <v>48</v>
      </c>
      <c r="I212" s="84" t="s">
        <v>1191</v>
      </c>
      <c r="J212" s="84" t="s">
        <v>1170</v>
      </c>
      <c r="K212" s="84" t="s">
        <v>1192</v>
      </c>
      <c r="L212" s="84" t="s">
        <v>1172</v>
      </c>
      <c r="M212" s="84"/>
      <c r="N212" s="84" t="s">
        <v>578</v>
      </c>
      <c r="O212" s="84" t="s">
        <v>1767</v>
      </c>
      <c r="P212" s="114" t="s">
        <v>1174</v>
      </c>
      <c r="Q212" s="84" t="s">
        <v>1175</v>
      </c>
      <c r="R212" s="84" t="s">
        <v>1172</v>
      </c>
      <c r="S212" s="84"/>
      <c r="T212" s="84"/>
      <c r="U212" s="84"/>
      <c r="V212" s="84"/>
      <c r="W212" s="84" t="s">
        <v>1177</v>
      </c>
      <c r="X212" s="84" t="s">
        <v>578</v>
      </c>
      <c r="Y212" s="84" t="s">
        <v>1768</v>
      </c>
      <c r="Z212" s="114" t="s">
        <v>1201</v>
      </c>
      <c r="AA212" s="84" t="s">
        <v>1172</v>
      </c>
      <c r="AB212" s="50"/>
      <c r="AC212" s="50"/>
      <c r="AD212" s="51"/>
      <c r="AE212" s="51"/>
      <c r="AJ212" s="39" t="s">
        <v>1769</v>
      </c>
      <c r="AL212">
        <v>7</v>
      </c>
    </row>
    <row r="213" spans="1:38">
      <c r="A213" s="45" t="s">
        <v>1118</v>
      </c>
      <c r="B213" s="120"/>
      <c r="C213" s="39" t="s">
        <v>1769</v>
      </c>
      <c r="D213" s="84" t="s">
        <v>1769</v>
      </c>
      <c r="E213" s="84" t="s">
        <v>63</v>
      </c>
      <c r="F213" s="84" t="s">
        <v>1397</v>
      </c>
      <c r="G213" s="84" t="s">
        <v>1770</v>
      </c>
      <c r="H213" s="57">
        <v>52</v>
      </c>
      <c r="I213" s="84" t="s">
        <v>1197</v>
      </c>
      <c r="J213" s="84" t="s">
        <v>1170</v>
      </c>
      <c r="K213" s="84" t="s">
        <v>1184</v>
      </c>
      <c r="L213" s="84" t="s">
        <v>1172</v>
      </c>
      <c r="M213" s="84"/>
      <c r="N213" s="84" t="s">
        <v>1172</v>
      </c>
      <c r="O213" s="84"/>
      <c r="P213" s="114" t="s">
        <v>1177</v>
      </c>
      <c r="Q213" s="84" t="s">
        <v>1175</v>
      </c>
      <c r="R213" s="84" t="s">
        <v>1172</v>
      </c>
      <c r="S213" s="84"/>
      <c r="T213" s="84"/>
      <c r="U213" s="84"/>
      <c r="V213" s="84"/>
      <c r="W213" s="84" t="s">
        <v>1174</v>
      </c>
      <c r="X213" s="84" t="s">
        <v>1172</v>
      </c>
      <c r="Y213" s="84"/>
      <c r="Z213" s="114" t="s">
        <v>1207</v>
      </c>
      <c r="AA213" s="84" t="s">
        <v>1172</v>
      </c>
      <c r="AB213" s="50"/>
      <c r="AC213" s="50"/>
      <c r="AD213" s="51"/>
      <c r="AE213" s="51"/>
      <c r="AJ213" s="39" t="s">
        <v>1364</v>
      </c>
      <c r="AL213">
        <v>6</v>
      </c>
    </row>
    <row r="214" spans="1:38">
      <c r="A214" s="45" t="s">
        <v>1124</v>
      </c>
      <c r="B214" s="120"/>
      <c r="C214" s="39" t="s">
        <v>1771</v>
      </c>
      <c r="D214" s="84" t="s">
        <v>1771</v>
      </c>
      <c r="E214" s="84" t="s">
        <v>85</v>
      </c>
      <c r="F214" s="84" t="s">
        <v>1325</v>
      </c>
      <c r="G214" s="84" t="s">
        <v>1401</v>
      </c>
      <c r="H214" s="57">
        <v>54</v>
      </c>
      <c r="I214" s="84" t="s">
        <v>1197</v>
      </c>
      <c r="J214" s="84" t="s">
        <v>1170</v>
      </c>
      <c r="K214" s="84" t="s">
        <v>1192</v>
      </c>
      <c r="L214" s="84" t="s">
        <v>1172</v>
      </c>
      <c r="M214" s="84"/>
      <c r="N214" s="84" t="s">
        <v>1172</v>
      </c>
      <c r="O214" s="84"/>
      <c r="P214" s="114" t="s">
        <v>1177</v>
      </c>
      <c r="Q214" s="84" t="s">
        <v>1175</v>
      </c>
      <c r="R214" s="84" t="s">
        <v>1172</v>
      </c>
      <c r="S214" s="84"/>
      <c r="T214" s="84"/>
      <c r="U214" s="84"/>
      <c r="V214" s="84"/>
      <c r="W214" s="84" t="s">
        <v>1174</v>
      </c>
      <c r="X214" s="84" t="s">
        <v>578</v>
      </c>
      <c r="Y214" s="84" t="s">
        <v>1772</v>
      </c>
      <c r="Z214" s="114" t="s">
        <v>1185</v>
      </c>
      <c r="AA214" s="84" t="s">
        <v>1172</v>
      </c>
      <c r="AB214" s="50"/>
      <c r="AC214" s="50"/>
      <c r="AD214" s="51"/>
      <c r="AE214" s="51"/>
      <c r="AJ214" s="39" t="s">
        <v>1771</v>
      </c>
      <c r="AL214">
        <v>5</v>
      </c>
    </row>
    <row r="215" spans="1:38">
      <c r="A215" s="45" t="s">
        <v>1133</v>
      </c>
      <c r="B215" s="120"/>
      <c r="C215" s="39" t="s">
        <v>1773</v>
      </c>
      <c r="D215" s="84" t="s">
        <v>1773</v>
      </c>
      <c r="E215" s="84" t="s">
        <v>63</v>
      </c>
      <c r="F215" s="84" t="s">
        <v>1344</v>
      </c>
      <c r="G215" s="84" t="s">
        <v>1196</v>
      </c>
      <c r="H215" s="57">
        <v>40</v>
      </c>
      <c r="I215" s="84" t="s">
        <v>1197</v>
      </c>
      <c r="J215" s="84" t="s">
        <v>1170</v>
      </c>
      <c r="K215" s="84" t="s">
        <v>1184</v>
      </c>
      <c r="L215" s="84" t="s">
        <v>1172</v>
      </c>
      <c r="M215" s="84"/>
      <c r="N215" s="84" t="s">
        <v>1172</v>
      </c>
      <c r="O215" s="84"/>
      <c r="P215" s="114" t="s">
        <v>1199</v>
      </c>
      <c r="Q215" s="84" t="s">
        <v>1175</v>
      </c>
      <c r="R215" s="84" t="s">
        <v>578</v>
      </c>
      <c r="S215" s="84" t="s">
        <v>1774</v>
      </c>
      <c r="T215" s="84" t="s">
        <v>1174</v>
      </c>
      <c r="U215" s="84" t="s">
        <v>1385</v>
      </c>
      <c r="V215" s="84" t="s">
        <v>1244</v>
      </c>
      <c r="W215" s="84" t="s">
        <v>1174</v>
      </c>
      <c r="X215" s="84" t="s">
        <v>1172</v>
      </c>
      <c r="Y215" s="84"/>
      <c r="Z215" s="114" t="s">
        <v>1178</v>
      </c>
      <c r="AA215" s="84" t="s">
        <v>1172</v>
      </c>
      <c r="AB215" s="50"/>
      <c r="AC215" s="50"/>
      <c r="AD215" s="50"/>
      <c r="AE215" s="51"/>
      <c r="AJ215" s="39" t="s">
        <v>1369</v>
      </c>
      <c r="AL215">
        <v>4</v>
      </c>
    </row>
    <row r="216" spans="1:38">
      <c r="A216" s="45" t="s">
        <v>1136</v>
      </c>
      <c r="B216" s="120"/>
      <c r="C216" s="39" t="s">
        <v>1775</v>
      </c>
      <c r="D216" s="84" t="s">
        <v>1775</v>
      </c>
      <c r="E216" s="84" t="s">
        <v>63</v>
      </c>
      <c r="F216" s="84" t="s">
        <v>1407</v>
      </c>
      <c r="G216" s="84" t="s">
        <v>1408</v>
      </c>
      <c r="H216" s="57">
        <v>63</v>
      </c>
      <c r="I216" s="84" t="s">
        <v>1232</v>
      </c>
      <c r="J216" s="84" t="s">
        <v>1170</v>
      </c>
      <c r="K216" s="84" t="s">
        <v>1184</v>
      </c>
      <c r="L216" s="84" t="s">
        <v>1172</v>
      </c>
      <c r="M216" s="84"/>
      <c r="N216" s="84" t="s">
        <v>1172</v>
      </c>
      <c r="O216" s="84"/>
      <c r="P216" s="114" t="s">
        <v>1199</v>
      </c>
      <c r="Q216" s="84" t="s">
        <v>1238</v>
      </c>
      <c r="R216" s="84" t="s">
        <v>578</v>
      </c>
      <c r="S216" s="84"/>
      <c r="T216" s="84" t="s">
        <v>1177</v>
      </c>
      <c r="U216" s="84"/>
      <c r="V216" s="84"/>
      <c r="W216" s="84" t="s">
        <v>1174</v>
      </c>
      <c r="X216" s="84" t="s">
        <v>1172</v>
      </c>
      <c r="Y216" s="84"/>
      <c r="Z216" s="114" t="s">
        <v>1178</v>
      </c>
      <c r="AA216" s="84" t="s">
        <v>1172</v>
      </c>
      <c r="AB216" s="50"/>
      <c r="AC216" s="50"/>
      <c r="AD216" s="51"/>
      <c r="AE216" s="51"/>
      <c r="AJ216" s="39" t="s">
        <v>1375</v>
      </c>
      <c r="AL216">
        <v>3</v>
      </c>
    </row>
    <row r="217" spans="1:38">
      <c r="A217" s="45"/>
      <c r="B217" s="120"/>
      <c r="D217" s="51"/>
      <c r="E217" s="50"/>
      <c r="F217" s="51"/>
      <c r="G217" s="51"/>
      <c r="H217" s="50"/>
      <c r="I217" s="51"/>
      <c r="J217" s="50"/>
      <c r="K217" s="51"/>
      <c r="L217" s="50"/>
      <c r="M217" s="51"/>
      <c r="N217" s="50"/>
      <c r="O217" s="51"/>
      <c r="P217" s="113"/>
      <c r="Q217" s="50"/>
      <c r="R217" s="50"/>
      <c r="S217" s="50"/>
      <c r="T217" s="51"/>
      <c r="U217" s="51"/>
      <c r="V217" s="50"/>
      <c r="W217" s="51"/>
      <c r="X217" s="51"/>
      <c r="Y217" s="50"/>
      <c r="Z217" s="113"/>
      <c r="AA217" s="51"/>
      <c r="AB217" s="50"/>
      <c r="AC217" s="50"/>
      <c r="AD217" s="51"/>
      <c r="AE217" s="51"/>
      <c r="AJ217" s="39" t="s">
        <v>1773</v>
      </c>
      <c r="AL217">
        <v>2</v>
      </c>
    </row>
    <row r="226" spans="5:10">
      <c r="E226" s="135" t="s">
        <v>1776</v>
      </c>
      <c r="F226" s="42" t="s">
        <v>1777</v>
      </c>
      <c r="H226" t="s">
        <v>1778</v>
      </c>
      <c r="I226" t="s">
        <v>1779</v>
      </c>
      <c r="J226" t="s">
        <v>1780</v>
      </c>
    </row>
    <row r="227" spans="5:10">
      <c r="E227" s="135">
        <f>COUNTIF(E2:E61,"Male")</f>
        <v>30</v>
      </c>
      <c r="F227" s="42">
        <f>COUNTIF(E2:E61,"Female")</f>
        <v>30</v>
      </c>
      <c r="H227">
        <f>COUNTIF(H2:H61,"&lt;50")</f>
        <v>21</v>
      </c>
      <c r="I227">
        <f>COUNTIFS(H2:H61,"&gt;=49",H2:H61,"&lt;=60")</f>
        <v>33</v>
      </c>
      <c r="J227">
        <f>COUNTIF(H2:H61,"&gt;59")</f>
        <v>8</v>
      </c>
    </row>
  </sheetData>
  <autoFilter ref="B1:B217" xr:uid="{A1F34310-DEDD-7243-929A-BBC506346A75}">
    <sortState xmlns:xlrd2="http://schemas.microsoft.com/office/spreadsheetml/2017/richdata2" ref="B2:B217">
      <sortCondition descending="1" ref="B1:B217"/>
    </sortState>
  </autoFilter>
  <sortState xmlns:xlrd2="http://schemas.microsoft.com/office/spreadsheetml/2017/richdata2" ref="A1:AA227">
    <sortCondition descending="1" ref="B1:B227"/>
  </sortState>
  <pageMargins left="0.7" right="0.7" top="0.75" bottom="0.75" header="0.3" footer="0.3"/>
  <pageSetup paperSize="9"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5281D-B345-5D44-BDDF-AFF8746685D0}">
  <dimension ref="A1:S222"/>
  <sheetViews>
    <sheetView zoomScale="90" workbookViewId="0">
      <pane ySplit="1" topLeftCell="A2" activePane="bottomLeft" state="frozen"/>
      <selection pane="bottomLeft" activeCell="N10" sqref="N10"/>
    </sheetView>
  </sheetViews>
  <sheetFormatPr defaultColWidth="11" defaultRowHeight="15.75" customHeight="1"/>
  <cols>
    <col min="4" max="4" width="21.875" customWidth="1"/>
    <col min="5" max="5" width="26" customWidth="1"/>
    <col min="6" max="6" width="38.25" customWidth="1"/>
    <col min="7" max="7" width="26" customWidth="1"/>
    <col min="8" max="8" width="22" customWidth="1"/>
    <col min="9" max="9" width="33" customWidth="1"/>
    <col min="11" max="11" width="36" bestFit="1" customWidth="1"/>
    <col min="19" max="19" width="25.875" customWidth="1"/>
  </cols>
  <sheetData>
    <row r="1" spans="1:19" s="47" customFormat="1" ht="58.5" customHeight="1">
      <c r="A1" s="93" t="s">
        <v>1781</v>
      </c>
      <c r="B1" s="93" t="s">
        <v>1782</v>
      </c>
      <c r="C1" s="93"/>
      <c r="D1" s="93" t="s">
        <v>1141</v>
      </c>
      <c r="E1" s="93" t="s">
        <v>1783</v>
      </c>
      <c r="F1" s="93" t="s">
        <v>1784</v>
      </c>
      <c r="G1" s="93" t="s">
        <v>1785</v>
      </c>
      <c r="H1" s="93" t="s">
        <v>1786</v>
      </c>
      <c r="I1" s="93" t="s">
        <v>1787</v>
      </c>
      <c r="J1" s="93" t="s">
        <v>1788</v>
      </c>
      <c r="K1" s="93" t="s">
        <v>1789</v>
      </c>
      <c r="L1" s="93" t="s">
        <v>1790</v>
      </c>
      <c r="M1" s="93" t="s">
        <v>1791</v>
      </c>
      <c r="N1" s="93" t="s">
        <v>1792</v>
      </c>
      <c r="O1" s="93" t="s">
        <v>1793</v>
      </c>
      <c r="P1" s="93" t="s">
        <v>1794</v>
      </c>
      <c r="Q1" s="93" t="s">
        <v>1795</v>
      </c>
      <c r="R1" s="93" t="s">
        <v>1796</v>
      </c>
      <c r="S1" s="94" t="s">
        <v>1797</v>
      </c>
    </row>
    <row r="2" spans="1:19">
      <c r="A2" s="44" t="b">
        <v>1</v>
      </c>
      <c r="B2" s="44" t="s">
        <v>61</v>
      </c>
      <c r="C2" s="44" t="s">
        <v>1387</v>
      </c>
      <c r="D2" s="44" t="s">
        <v>1387</v>
      </c>
      <c r="E2" s="44" t="s">
        <v>1798</v>
      </c>
      <c r="F2" s="44" t="s">
        <v>1799</v>
      </c>
      <c r="G2" s="44" t="s">
        <v>1172</v>
      </c>
      <c r="H2" s="44" t="s">
        <v>1172</v>
      </c>
      <c r="I2" s="44" t="s">
        <v>1800</v>
      </c>
      <c r="J2" s="44" t="s">
        <v>1801</v>
      </c>
      <c r="K2" s="44">
        <v>7</v>
      </c>
      <c r="L2" s="44">
        <v>6</v>
      </c>
      <c r="M2" s="44">
        <v>1</v>
      </c>
      <c r="N2" s="44">
        <v>5</v>
      </c>
      <c r="O2" s="44">
        <v>2</v>
      </c>
      <c r="P2" s="44">
        <v>3</v>
      </c>
      <c r="Q2" s="44">
        <v>4</v>
      </c>
      <c r="R2" s="44" t="s">
        <v>1172</v>
      </c>
      <c r="S2" s="44" t="s">
        <v>1172</v>
      </c>
    </row>
    <row r="3" spans="1:19">
      <c r="A3" s="44" t="b">
        <v>1</v>
      </c>
      <c r="B3" s="44" t="s">
        <v>74</v>
      </c>
      <c r="C3" s="44" t="s">
        <v>1392</v>
      </c>
      <c r="D3" s="44" t="s">
        <v>1802</v>
      </c>
      <c r="E3" s="44" t="s">
        <v>1798</v>
      </c>
      <c r="F3" s="44" t="s">
        <v>1803</v>
      </c>
      <c r="G3" s="44" t="s">
        <v>1172</v>
      </c>
      <c r="H3" s="44" t="s">
        <v>1172</v>
      </c>
      <c r="I3" s="44" t="s">
        <v>1804</v>
      </c>
      <c r="J3" s="44"/>
      <c r="K3" s="44">
        <v>1</v>
      </c>
      <c r="L3" s="44">
        <v>3</v>
      </c>
      <c r="M3" s="44">
        <v>2</v>
      </c>
      <c r="N3" s="44">
        <v>4</v>
      </c>
      <c r="O3" s="44">
        <v>5</v>
      </c>
      <c r="P3" s="44">
        <v>7</v>
      </c>
      <c r="Q3" s="44">
        <v>6</v>
      </c>
      <c r="R3" s="44" t="s">
        <v>1172</v>
      </c>
      <c r="S3" s="44" t="s">
        <v>1805</v>
      </c>
    </row>
    <row r="4" spans="1:19">
      <c r="A4" s="44" t="b">
        <v>1</v>
      </c>
      <c r="B4" s="44" t="s">
        <v>83</v>
      </c>
      <c r="C4" s="44" t="s">
        <v>1395</v>
      </c>
      <c r="D4" s="44" t="s">
        <v>1396</v>
      </c>
      <c r="E4" s="44" t="s">
        <v>1798</v>
      </c>
      <c r="F4" s="44" t="s">
        <v>1806</v>
      </c>
      <c r="G4" s="44" t="s">
        <v>1807</v>
      </c>
      <c r="H4" s="44" t="s">
        <v>1808</v>
      </c>
      <c r="I4" s="44" t="s">
        <v>1800</v>
      </c>
      <c r="J4" s="44" t="s">
        <v>1809</v>
      </c>
      <c r="K4" s="44">
        <v>3</v>
      </c>
      <c r="L4" s="44">
        <v>4</v>
      </c>
      <c r="M4" s="44">
        <v>1</v>
      </c>
      <c r="N4" s="44">
        <v>7</v>
      </c>
      <c r="O4" s="44">
        <v>6</v>
      </c>
      <c r="P4" s="44">
        <v>2</v>
      </c>
      <c r="Q4" s="44">
        <v>5</v>
      </c>
      <c r="R4" s="44" t="s">
        <v>1807</v>
      </c>
      <c r="S4" s="44" t="s">
        <v>1807</v>
      </c>
    </row>
    <row r="5" spans="1:19">
      <c r="A5" s="44" t="b">
        <v>1</v>
      </c>
      <c r="B5" s="44" t="s">
        <v>97</v>
      </c>
      <c r="C5" s="44" t="s">
        <v>1398</v>
      </c>
      <c r="D5" s="44" t="s">
        <v>1810</v>
      </c>
      <c r="E5" s="44" t="s">
        <v>1798</v>
      </c>
      <c r="F5" s="44" t="s">
        <v>1811</v>
      </c>
      <c r="G5" s="44" t="s">
        <v>1812</v>
      </c>
      <c r="H5" s="44" t="s">
        <v>1813</v>
      </c>
      <c r="I5" s="44" t="s">
        <v>1814</v>
      </c>
      <c r="J5" s="44"/>
      <c r="K5" s="44">
        <v>5</v>
      </c>
      <c r="L5" s="44">
        <v>6</v>
      </c>
      <c r="M5" s="44">
        <v>1</v>
      </c>
      <c r="N5" s="44">
        <v>2</v>
      </c>
      <c r="O5" s="44">
        <v>7</v>
      </c>
      <c r="P5" s="44">
        <v>4</v>
      </c>
      <c r="Q5" s="44">
        <v>3</v>
      </c>
      <c r="R5" s="44" t="s">
        <v>1172</v>
      </c>
      <c r="S5" s="44" t="s">
        <v>1815</v>
      </c>
    </row>
    <row r="6" spans="1:19">
      <c r="A6" s="44" t="b">
        <v>1</v>
      </c>
      <c r="B6" s="44" t="s">
        <v>106</v>
      </c>
      <c r="C6" s="44" t="s">
        <v>1165</v>
      </c>
      <c r="D6" s="44" t="s">
        <v>1166</v>
      </c>
      <c r="E6" s="44" t="s">
        <v>1798</v>
      </c>
      <c r="F6" s="44" t="s">
        <v>1816</v>
      </c>
      <c r="G6" s="44" t="s">
        <v>1172</v>
      </c>
      <c r="H6" s="44" t="s">
        <v>1172</v>
      </c>
      <c r="I6" s="44" t="s">
        <v>1817</v>
      </c>
      <c r="J6" s="44" t="s">
        <v>1818</v>
      </c>
      <c r="K6" s="44">
        <v>5</v>
      </c>
      <c r="L6" s="44">
        <v>2</v>
      </c>
      <c r="M6" s="44">
        <v>1</v>
      </c>
      <c r="N6" s="44">
        <v>4</v>
      </c>
      <c r="O6" s="44">
        <v>6</v>
      </c>
      <c r="P6" s="44">
        <v>3</v>
      </c>
      <c r="Q6" s="44">
        <v>7</v>
      </c>
      <c r="R6" s="44" t="s">
        <v>1172</v>
      </c>
      <c r="S6" s="44" t="s">
        <v>1819</v>
      </c>
    </row>
    <row r="7" spans="1:19">
      <c r="A7" s="44" t="b">
        <v>1</v>
      </c>
      <c r="B7" s="44" t="s">
        <v>116</v>
      </c>
      <c r="C7" s="44" t="s">
        <v>1402</v>
      </c>
      <c r="D7" s="44" t="s">
        <v>1402</v>
      </c>
      <c r="E7" s="44" t="s">
        <v>1820</v>
      </c>
      <c r="F7" s="44" t="s">
        <v>1821</v>
      </c>
      <c r="G7" s="44" t="s">
        <v>1172</v>
      </c>
      <c r="H7" s="44" t="s">
        <v>1172</v>
      </c>
      <c r="I7" s="44" t="s">
        <v>1814</v>
      </c>
      <c r="J7" s="44"/>
      <c r="K7" s="44">
        <v>1</v>
      </c>
      <c r="L7" s="44">
        <v>2</v>
      </c>
      <c r="M7" s="44">
        <v>3</v>
      </c>
      <c r="N7" s="44">
        <v>5</v>
      </c>
      <c r="O7" s="44">
        <v>6</v>
      </c>
      <c r="P7" s="44">
        <v>4</v>
      </c>
      <c r="Q7" s="44">
        <v>7</v>
      </c>
      <c r="R7" s="44" t="s">
        <v>1252</v>
      </c>
      <c r="S7" s="44" t="s">
        <v>1822</v>
      </c>
    </row>
    <row r="8" spans="1:19">
      <c r="A8" s="44" t="b">
        <v>1</v>
      </c>
      <c r="B8" s="44" t="s">
        <v>127</v>
      </c>
      <c r="C8" s="44" t="s">
        <v>1406</v>
      </c>
      <c r="D8" s="44" t="s">
        <v>1406</v>
      </c>
      <c r="E8" s="44" t="s">
        <v>1798</v>
      </c>
      <c r="F8" s="44" t="s">
        <v>1823</v>
      </c>
      <c r="G8" s="44" t="s">
        <v>1172</v>
      </c>
      <c r="H8" s="44" t="s">
        <v>1824</v>
      </c>
      <c r="I8" s="44"/>
      <c r="J8" s="44"/>
      <c r="K8" s="44">
        <v>6</v>
      </c>
      <c r="L8" s="44">
        <v>3</v>
      </c>
      <c r="M8" s="44">
        <v>5</v>
      </c>
      <c r="N8" s="44">
        <v>1</v>
      </c>
      <c r="O8" s="44">
        <v>4</v>
      </c>
      <c r="P8" s="44">
        <v>7</v>
      </c>
      <c r="Q8" s="44">
        <v>2</v>
      </c>
      <c r="R8" s="44" t="s">
        <v>1825</v>
      </c>
      <c r="S8" s="44" t="s">
        <v>1826</v>
      </c>
    </row>
    <row r="9" spans="1:19">
      <c r="A9" s="44" t="b">
        <v>1</v>
      </c>
      <c r="B9" s="44" t="s">
        <v>140</v>
      </c>
      <c r="C9" s="44" t="s">
        <v>1179</v>
      </c>
      <c r="D9" s="44" t="s">
        <v>1179</v>
      </c>
      <c r="E9" s="44" t="s">
        <v>1820</v>
      </c>
      <c r="F9" s="44" t="s">
        <v>1827</v>
      </c>
      <c r="G9" s="44" t="s">
        <v>1172</v>
      </c>
      <c r="H9" s="44" t="s">
        <v>1172</v>
      </c>
      <c r="I9" s="44" t="s">
        <v>1828</v>
      </c>
      <c r="J9" s="44"/>
      <c r="K9" s="44">
        <v>5</v>
      </c>
      <c r="L9" s="44">
        <v>2</v>
      </c>
      <c r="M9" s="44">
        <v>4</v>
      </c>
      <c r="N9" s="44">
        <v>1</v>
      </c>
      <c r="O9" s="44">
        <v>3</v>
      </c>
      <c r="P9" s="44">
        <v>6</v>
      </c>
      <c r="Q9" s="44">
        <v>7</v>
      </c>
      <c r="R9" s="44" t="s">
        <v>1829</v>
      </c>
      <c r="S9" s="44" t="s">
        <v>1830</v>
      </c>
    </row>
    <row r="10" spans="1:19">
      <c r="A10" s="44" t="b">
        <v>1</v>
      </c>
      <c r="B10" s="44" t="s">
        <v>148</v>
      </c>
      <c r="C10" s="44" t="s">
        <v>1186</v>
      </c>
      <c r="D10" s="44" t="s">
        <v>1186</v>
      </c>
      <c r="E10" s="44" t="s">
        <v>1798</v>
      </c>
      <c r="F10" s="44" t="s">
        <v>1831</v>
      </c>
      <c r="G10" s="44" t="s">
        <v>1172</v>
      </c>
      <c r="H10" s="44" t="s">
        <v>1172</v>
      </c>
      <c r="I10" s="44" t="s">
        <v>1828</v>
      </c>
      <c r="J10" s="44"/>
      <c r="K10" s="44">
        <v>4</v>
      </c>
      <c r="L10" s="44">
        <v>1</v>
      </c>
      <c r="M10" s="44">
        <v>3</v>
      </c>
      <c r="N10" s="44">
        <v>7</v>
      </c>
      <c r="O10" s="44">
        <v>6</v>
      </c>
      <c r="P10" s="44">
        <v>2</v>
      </c>
      <c r="Q10" s="44">
        <v>5</v>
      </c>
      <c r="R10" s="44" t="s">
        <v>1832</v>
      </c>
      <c r="S10" s="44" t="s">
        <v>1833</v>
      </c>
    </row>
    <row r="11" spans="1:19">
      <c r="A11" s="44" t="b">
        <v>1</v>
      </c>
      <c r="B11" s="44" t="s">
        <v>159</v>
      </c>
      <c r="C11" s="44" t="s">
        <v>1410</v>
      </c>
      <c r="D11" s="44" t="s">
        <v>1410</v>
      </c>
      <c r="E11" s="44" t="s">
        <v>1834</v>
      </c>
      <c r="F11" s="44" t="s">
        <v>1320</v>
      </c>
      <c r="G11" s="44" t="s">
        <v>1172</v>
      </c>
      <c r="H11" s="44" t="s">
        <v>1172</v>
      </c>
      <c r="I11" s="44" t="s">
        <v>1828</v>
      </c>
      <c r="J11" s="44"/>
      <c r="K11" s="44">
        <v>1</v>
      </c>
      <c r="L11" s="44">
        <v>5</v>
      </c>
      <c r="M11" s="44">
        <v>6</v>
      </c>
      <c r="N11" s="44">
        <v>4</v>
      </c>
      <c r="O11" s="44">
        <v>3</v>
      </c>
      <c r="P11" s="44">
        <v>7</v>
      </c>
      <c r="Q11" s="44">
        <v>2</v>
      </c>
      <c r="R11" s="44" t="s">
        <v>1835</v>
      </c>
      <c r="S11" s="44" t="s">
        <v>1836</v>
      </c>
    </row>
    <row r="12" spans="1:19">
      <c r="A12" s="44" t="b">
        <v>1</v>
      </c>
      <c r="B12" s="44" t="s">
        <v>169</v>
      </c>
      <c r="C12" s="44" t="s">
        <v>1414</v>
      </c>
      <c r="D12" s="44" t="s">
        <v>1414</v>
      </c>
      <c r="E12" s="44" t="s">
        <v>1798</v>
      </c>
      <c r="F12" s="44" t="s">
        <v>1837</v>
      </c>
      <c r="G12" s="44" t="s">
        <v>1838</v>
      </c>
      <c r="H12" s="44" t="s">
        <v>1839</v>
      </c>
      <c r="I12" s="44" t="s">
        <v>1804</v>
      </c>
      <c r="J12" s="44"/>
      <c r="K12" s="44">
        <v>1</v>
      </c>
      <c r="L12" s="44">
        <v>7</v>
      </c>
      <c r="M12" s="44">
        <v>2</v>
      </c>
      <c r="N12" s="44">
        <v>5</v>
      </c>
      <c r="O12" s="44">
        <v>6</v>
      </c>
      <c r="P12" s="44">
        <v>4</v>
      </c>
      <c r="Q12" s="44">
        <v>3</v>
      </c>
      <c r="R12" s="44" t="s">
        <v>1840</v>
      </c>
      <c r="S12" s="44" t="s">
        <v>1840</v>
      </c>
    </row>
    <row r="13" spans="1:19">
      <c r="A13" s="44" t="b">
        <v>1</v>
      </c>
      <c r="B13" s="44" t="s">
        <v>181</v>
      </c>
      <c r="C13" s="44" t="s">
        <v>1189</v>
      </c>
      <c r="D13" s="44" t="s">
        <v>1189</v>
      </c>
      <c r="E13" s="44" t="s">
        <v>1798</v>
      </c>
      <c r="F13" s="44" t="s">
        <v>1841</v>
      </c>
      <c r="G13" s="44" t="s">
        <v>1252</v>
      </c>
      <c r="H13" s="44" t="s">
        <v>1252</v>
      </c>
      <c r="I13" s="44" t="s">
        <v>1828</v>
      </c>
      <c r="J13" s="44"/>
      <c r="K13" s="44">
        <v>2</v>
      </c>
      <c r="L13" s="44">
        <v>1</v>
      </c>
      <c r="M13" s="44">
        <v>3</v>
      </c>
      <c r="N13" s="44">
        <v>4</v>
      </c>
      <c r="O13" s="44">
        <v>5</v>
      </c>
      <c r="P13" s="44">
        <v>6</v>
      </c>
      <c r="Q13" s="44">
        <v>7</v>
      </c>
      <c r="R13" s="44" t="s">
        <v>1842</v>
      </c>
      <c r="S13" s="44" t="s">
        <v>1252</v>
      </c>
    </row>
    <row r="14" spans="1:19">
      <c r="A14" s="44" t="b">
        <v>1</v>
      </c>
      <c r="B14" s="44" t="s">
        <v>187</v>
      </c>
      <c r="C14" s="44" t="s">
        <v>1416</v>
      </c>
      <c r="D14" s="44" t="s">
        <v>1416</v>
      </c>
      <c r="E14" s="44" t="s">
        <v>1798</v>
      </c>
      <c r="F14" s="44" t="s">
        <v>1843</v>
      </c>
      <c r="G14" s="44" t="s">
        <v>1844</v>
      </c>
      <c r="H14" s="44" t="s">
        <v>1844</v>
      </c>
      <c r="I14" s="44" t="s">
        <v>1804</v>
      </c>
      <c r="J14" s="44"/>
      <c r="K14" s="44">
        <v>3</v>
      </c>
      <c r="L14" s="44">
        <v>6</v>
      </c>
      <c r="M14" s="44">
        <v>1</v>
      </c>
      <c r="N14" s="44">
        <v>2</v>
      </c>
      <c r="O14" s="44">
        <v>7</v>
      </c>
      <c r="P14" s="44">
        <v>5</v>
      </c>
      <c r="Q14" s="44">
        <v>4</v>
      </c>
      <c r="R14" s="44" t="s">
        <v>1844</v>
      </c>
      <c r="S14" s="44" t="s">
        <v>1844</v>
      </c>
    </row>
    <row r="15" spans="1:19">
      <c r="A15" s="44" t="b">
        <v>1</v>
      </c>
      <c r="B15" s="44" t="s">
        <v>199</v>
      </c>
      <c r="C15" s="44" t="s">
        <v>1422</v>
      </c>
      <c r="D15" s="44" t="s">
        <v>1422</v>
      </c>
      <c r="E15" s="44" t="s">
        <v>1798</v>
      </c>
      <c r="F15" s="44" t="s">
        <v>1845</v>
      </c>
      <c r="G15" s="44" t="s">
        <v>1846</v>
      </c>
      <c r="H15" s="44" t="s">
        <v>1172</v>
      </c>
      <c r="I15" s="44" t="s">
        <v>1800</v>
      </c>
      <c r="J15" s="44" t="s">
        <v>1847</v>
      </c>
      <c r="K15" s="44">
        <v>4</v>
      </c>
      <c r="L15" s="44">
        <v>2</v>
      </c>
      <c r="M15" s="44">
        <v>3</v>
      </c>
      <c r="N15" s="44">
        <v>1</v>
      </c>
      <c r="O15" s="44">
        <v>5</v>
      </c>
      <c r="P15" s="44">
        <v>7</v>
      </c>
      <c r="Q15" s="44">
        <v>6</v>
      </c>
      <c r="R15" s="44" t="s">
        <v>1848</v>
      </c>
      <c r="S15" s="44" t="s">
        <v>1849</v>
      </c>
    </row>
    <row r="16" spans="1:19">
      <c r="A16" s="44" t="b">
        <v>1</v>
      </c>
      <c r="B16" s="44" t="s">
        <v>208</v>
      </c>
      <c r="C16" s="44" t="s">
        <v>1424</v>
      </c>
      <c r="D16" s="44" t="s">
        <v>1850</v>
      </c>
      <c r="E16" s="44" t="s">
        <v>1834</v>
      </c>
      <c r="F16" s="44" t="s">
        <v>1851</v>
      </c>
      <c r="G16" s="44" t="s">
        <v>1844</v>
      </c>
      <c r="H16" s="44" t="s">
        <v>1844</v>
      </c>
      <c r="I16" s="44"/>
      <c r="J16" s="44"/>
      <c r="K16" s="44">
        <v>7</v>
      </c>
      <c r="L16" s="44">
        <v>5</v>
      </c>
      <c r="M16" s="44">
        <v>1</v>
      </c>
      <c r="N16" s="44">
        <v>2</v>
      </c>
      <c r="O16" s="44">
        <v>6</v>
      </c>
      <c r="P16" s="44">
        <v>3</v>
      </c>
      <c r="Q16" s="44">
        <v>4</v>
      </c>
      <c r="R16" s="44" t="s">
        <v>1852</v>
      </c>
      <c r="S16" s="44" t="s">
        <v>1853</v>
      </c>
    </row>
    <row r="17" spans="1:19">
      <c r="A17" s="44" t="b">
        <v>1</v>
      </c>
      <c r="B17" s="44" t="s">
        <v>219</v>
      </c>
      <c r="C17" s="44" t="s">
        <v>1425</v>
      </c>
      <c r="D17" s="44" t="s">
        <v>1425</v>
      </c>
      <c r="E17" s="44" t="s">
        <v>1820</v>
      </c>
      <c r="F17" s="44" t="s">
        <v>1854</v>
      </c>
      <c r="G17" s="44" t="s">
        <v>1855</v>
      </c>
      <c r="H17" s="44" t="s">
        <v>1856</v>
      </c>
      <c r="I17" s="44" t="s">
        <v>1800</v>
      </c>
      <c r="J17" s="44" t="s">
        <v>1252</v>
      </c>
      <c r="K17" s="44">
        <v>3</v>
      </c>
      <c r="L17" s="44">
        <v>1</v>
      </c>
      <c r="M17" s="44">
        <v>2</v>
      </c>
      <c r="N17" s="44">
        <v>4</v>
      </c>
      <c r="O17" s="44">
        <v>7</v>
      </c>
      <c r="P17" s="44">
        <v>5</v>
      </c>
      <c r="Q17" s="44">
        <v>6</v>
      </c>
      <c r="R17" s="44" t="s">
        <v>1252</v>
      </c>
      <c r="S17" s="44" t="s">
        <v>1252</v>
      </c>
    </row>
    <row r="18" spans="1:19">
      <c r="A18" s="44" t="b">
        <v>1</v>
      </c>
      <c r="B18" s="44" t="s">
        <v>227</v>
      </c>
      <c r="C18" s="44" t="s">
        <v>1427</v>
      </c>
      <c r="D18" s="44" t="s">
        <v>1427</v>
      </c>
      <c r="E18" s="44" t="s">
        <v>1834</v>
      </c>
      <c r="F18" s="44" t="s">
        <v>1252</v>
      </c>
      <c r="G18" s="44" t="s">
        <v>1172</v>
      </c>
      <c r="H18" s="44" t="s">
        <v>1172</v>
      </c>
      <c r="I18" s="44" t="s">
        <v>1857</v>
      </c>
      <c r="J18" s="44" t="s">
        <v>1858</v>
      </c>
      <c r="K18" s="44">
        <v>2</v>
      </c>
      <c r="L18" s="44">
        <v>1</v>
      </c>
      <c r="M18" s="44">
        <v>3</v>
      </c>
      <c r="N18" s="44">
        <v>7</v>
      </c>
      <c r="O18" s="44">
        <v>5</v>
      </c>
      <c r="P18" s="44">
        <v>4</v>
      </c>
      <c r="Q18" s="44">
        <v>6</v>
      </c>
      <c r="R18" s="44" t="s">
        <v>1172</v>
      </c>
      <c r="S18" s="44" t="s">
        <v>1172</v>
      </c>
    </row>
    <row r="19" spans="1:19">
      <c r="A19" s="44" t="b">
        <v>1</v>
      </c>
      <c r="B19" s="44" t="s">
        <v>235</v>
      </c>
      <c r="C19" s="44" t="s">
        <v>1429</v>
      </c>
      <c r="D19" s="44" t="s">
        <v>1429</v>
      </c>
      <c r="E19" s="44" t="s">
        <v>1834</v>
      </c>
      <c r="F19" s="95" t="s">
        <v>681</v>
      </c>
      <c r="G19" s="95" t="s">
        <v>681</v>
      </c>
      <c r="H19" s="95" t="s">
        <v>681</v>
      </c>
      <c r="I19" s="44" t="s">
        <v>1828</v>
      </c>
      <c r="J19" s="44"/>
      <c r="K19" s="44">
        <v>4</v>
      </c>
      <c r="L19" s="44">
        <v>5</v>
      </c>
      <c r="M19" s="44">
        <v>1</v>
      </c>
      <c r="N19" s="44">
        <v>3</v>
      </c>
      <c r="O19" s="44">
        <v>2</v>
      </c>
      <c r="P19" s="44">
        <v>7</v>
      </c>
      <c r="Q19" s="44">
        <v>6</v>
      </c>
      <c r="R19" s="95" t="s">
        <v>681</v>
      </c>
      <c r="S19" s="95" t="s">
        <v>681</v>
      </c>
    </row>
    <row r="20" spans="1:19">
      <c r="A20" s="44" t="b">
        <v>1</v>
      </c>
      <c r="B20" s="44" t="s">
        <v>241</v>
      </c>
      <c r="C20" s="44" t="s">
        <v>1432</v>
      </c>
      <c r="D20" s="44" t="s">
        <v>1859</v>
      </c>
      <c r="E20" s="44" t="s">
        <v>1798</v>
      </c>
      <c r="F20" s="44" t="s">
        <v>1860</v>
      </c>
      <c r="G20" s="44" t="s">
        <v>1172</v>
      </c>
      <c r="H20" s="44" t="s">
        <v>1172</v>
      </c>
      <c r="I20" s="44" t="s">
        <v>1800</v>
      </c>
      <c r="J20" s="44" t="s">
        <v>1860</v>
      </c>
      <c r="K20" s="44">
        <v>6</v>
      </c>
      <c r="L20" s="44">
        <v>3</v>
      </c>
      <c r="M20" s="44">
        <v>1</v>
      </c>
      <c r="N20" s="44">
        <v>7</v>
      </c>
      <c r="O20" s="44">
        <v>5</v>
      </c>
      <c r="P20" s="44">
        <v>2</v>
      </c>
      <c r="Q20" s="44">
        <v>4</v>
      </c>
      <c r="R20" s="44" t="s">
        <v>1252</v>
      </c>
      <c r="S20" s="44" t="s">
        <v>1861</v>
      </c>
    </row>
    <row r="21" spans="1:19">
      <c r="A21" s="44" t="b">
        <v>1</v>
      </c>
      <c r="B21" s="44" t="s">
        <v>247</v>
      </c>
      <c r="C21" s="44" t="s">
        <v>1193</v>
      </c>
      <c r="D21" s="44" t="s">
        <v>1193</v>
      </c>
      <c r="E21" s="44" t="s">
        <v>1798</v>
      </c>
      <c r="F21" s="44" t="s">
        <v>10</v>
      </c>
      <c r="G21" s="44" t="s">
        <v>1862</v>
      </c>
      <c r="H21" s="44" t="s">
        <v>1172</v>
      </c>
      <c r="I21" s="44" t="s">
        <v>1863</v>
      </c>
      <c r="J21" s="44" t="s">
        <v>1864</v>
      </c>
      <c r="K21" s="44">
        <v>2</v>
      </c>
      <c r="L21" s="44">
        <v>1</v>
      </c>
      <c r="M21" s="44">
        <v>3</v>
      </c>
      <c r="N21" s="44">
        <v>5</v>
      </c>
      <c r="O21" s="44">
        <v>4</v>
      </c>
      <c r="P21" s="44">
        <v>6</v>
      </c>
      <c r="Q21" s="44">
        <v>7</v>
      </c>
      <c r="R21" s="44" t="s">
        <v>1865</v>
      </c>
      <c r="S21" s="44"/>
    </row>
    <row r="22" spans="1:19">
      <c r="A22" s="44" t="b">
        <v>1</v>
      </c>
      <c r="B22" s="44" t="s">
        <v>256</v>
      </c>
      <c r="C22" s="44" t="s">
        <v>1202</v>
      </c>
      <c r="D22" s="44" t="s">
        <v>1202</v>
      </c>
      <c r="E22" s="44" t="s">
        <v>1798</v>
      </c>
      <c r="F22" s="44" t="s">
        <v>1866</v>
      </c>
      <c r="G22" s="44" t="s">
        <v>1172</v>
      </c>
      <c r="H22" s="44" t="s">
        <v>1172</v>
      </c>
      <c r="I22" s="44" t="s">
        <v>1800</v>
      </c>
      <c r="J22" s="44" t="s">
        <v>1320</v>
      </c>
      <c r="K22" s="44">
        <v>4</v>
      </c>
      <c r="L22" s="44">
        <v>2</v>
      </c>
      <c r="M22" s="44">
        <v>5</v>
      </c>
      <c r="N22" s="44">
        <v>6</v>
      </c>
      <c r="O22" s="44">
        <v>3</v>
      </c>
      <c r="P22" s="44">
        <v>7</v>
      </c>
      <c r="Q22" s="44">
        <v>1</v>
      </c>
      <c r="R22" s="44"/>
      <c r="S22" s="44" t="s">
        <v>1867</v>
      </c>
    </row>
    <row r="23" spans="1:19">
      <c r="A23" s="44" t="b">
        <v>1</v>
      </c>
      <c r="B23" s="44" t="s">
        <v>263</v>
      </c>
      <c r="C23" s="44" t="s">
        <v>1434</v>
      </c>
      <c r="D23" s="44" t="s">
        <v>1435</v>
      </c>
      <c r="E23" s="44" t="s">
        <v>1798</v>
      </c>
      <c r="F23" s="44" t="s">
        <v>1868</v>
      </c>
      <c r="G23" s="44" t="s">
        <v>1172</v>
      </c>
      <c r="H23" s="44" t="s">
        <v>1172</v>
      </c>
      <c r="I23" s="44" t="s">
        <v>1800</v>
      </c>
      <c r="J23" s="44"/>
      <c r="K23" s="44">
        <v>2</v>
      </c>
      <c r="L23" s="44">
        <v>1</v>
      </c>
      <c r="M23" s="44">
        <v>3</v>
      </c>
      <c r="N23" s="44">
        <v>4</v>
      </c>
      <c r="O23" s="44">
        <v>6</v>
      </c>
      <c r="P23" s="44">
        <v>5</v>
      </c>
      <c r="Q23" s="44">
        <v>7</v>
      </c>
      <c r="R23" s="44" t="s">
        <v>1172</v>
      </c>
      <c r="S23" s="44" t="s">
        <v>1172</v>
      </c>
    </row>
    <row r="24" spans="1:19">
      <c r="A24" s="44" t="b">
        <v>1</v>
      </c>
      <c r="B24" s="44" t="s">
        <v>268</v>
      </c>
      <c r="C24" s="44" t="s">
        <v>1205</v>
      </c>
      <c r="D24" s="44" t="s">
        <v>1205</v>
      </c>
      <c r="E24" s="44" t="s">
        <v>1820</v>
      </c>
      <c r="F24" s="44" t="s">
        <v>1869</v>
      </c>
      <c r="G24" s="44" t="s">
        <v>1870</v>
      </c>
      <c r="H24" s="44" t="s">
        <v>1871</v>
      </c>
      <c r="I24" s="44" t="s">
        <v>1828</v>
      </c>
      <c r="J24" s="44"/>
      <c r="K24" s="44">
        <v>1</v>
      </c>
      <c r="L24" s="44">
        <v>3</v>
      </c>
      <c r="M24" s="44">
        <v>2</v>
      </c>
      <c r="N24" s="44">
        <v>4</v>
      </c>
      <c r="O24" s="44">
        <v>6</v>
      </c>
      <c r="P24" s="44">
        <v>5</v>
      </c>
      <c r="Q24" s="44">
        <v>7</v>
      </c>
      <c r="R24" s="44" t="s">
        <v>1172</v>
      </c>
      <c r="S24" s="44" t="s">
        <v>1856</v>
      </c>
    </row>
    <row r="25" spans="1:19">
      <c r="A25" s="44" t="b">
        <v>1</v>
      </c>
      <c r="B25" s="44" t="s">
        <v>275</v>
      </c>
      <c r="C25" s="44" t="s">
        <v>1438</v>
      </c>
      <c r="D25" s="44" t="s">
        <v>1438</v>
      </c>
      <c r="E25" s="44" t="s">
        <v>1798</v>
      </c>
      <c r="F25" s="44" t="s">
        <v>1872</v>
      </c>
      <c r="G25" s="44" t="s">
        <v>1172</v>
      </c>
      <c r="H25" s="44" t="s">
        <v>1873</v>
      </c>
      <c r="I25" s="44" t="s">
        <v>1800</v>
      </c>
      <c r="J25" s="44" t="s">
        <v>1874</v>
      </c>
      <c r="K25" s="44">
        <v>4</v>
      </c>
      <c r="L25" s="44">
        <v>1</v>
      </c>
      <c r="M25" s="44">
        <v>2</v>
      </c>
      <c r="N25" s="44">
        <v>3</v>
      </c>
      <c r="O25" s="44">
        <v>7</v>
      </c>
      <c r="P25" s="44">
        <v>5</v>
      </c>
      <c r="Q25" s="44">
        <v>6</v>
      </c>
      <c r="R25" s="44" t="s">
        <v>1875</v>
      </c>
      <c r="S25" s="44" t="s">
        <v>1320</v>
      </c>
    </row>
    <row r="26" spans="1:19">
      <c r="A26" s="44" t="b">
        <v>1</v>
      </c>
      <c r="B26" s="44" t="s">
        <v>283</v>
      </c>
      <c r="C26" s="44" t="s">
        <v>1441</v>
      </c>
      <c r="D26" s="44" t="s">
        <v>1441</v>
      </c>
      <c r="E26" s="44" t="s">
        <v>1798</v>
      </c>
      <c r="F26" s="44" t="s">
        <v>1876</v>
      </c>
      <c r="G26" s="44" t="s">
        <v>1856</v>
      </c>
      <c r="H26" s="44" t="s">
        <v>1856</v>
      </c>
      <c r="I26" s="44" t="s">
        <v>1800</v>
      </c>
      <c r="J26" s="44" t="s">
        <v>1877</v>
      </c>
      <c r="K26" s="44">
        <v>2</v>
      </c>
      <c r="L26" s="44">
        <v>1</v>
      </c>
      <c r="M26" s="44">
        <v>4</v>
      </c>
      <c r="N26" s="44">
        <v>3</v>
      </c>
      <c r="O26" s="44">
        <v>5</v>
      </c>
      <c r="P26" s="44">
        <v>6</v>
      </c>
      <c r="Q26" s="44">
        <v>7</v>
      </c>
      <c r="R26" s="44" t="s">
        <v>1856</v>
      </c>
      <c r="S26" s="44" t="s">
        <v>1856</v>
      </c>
    </row>
    <row r="27" spans="1:19">
      <c r="A27" s="44" t="b">
        <v>1</v>
      </c>
      <c r="B27" s="44" t="s">
        <v>286</v>
      </c>
      <c r="C27" s="44" t="s">
        <v>1444</v>
      </c>
      <c r="D27" s="44" t="s">
        <v>1878</v>
      </c>
      <c r="E27" s="44" t="s">
        <v>1798</v>
      </c>
      <c r="F27" s="44" t="s">
        <v>1879</v>
      </c>
      <c r="G27" s="44" t="s">
        <v>1172</v>
      </c>
      <c r="H27" s="44" t="s">
        <v>1172</v>
      </c>
      <c r="I27" s="44" t="s">
        <v>1800</v>
      </c>
      <c r="J27" s="44" t="s">
        <v>1252</v>
      </c>
      <c r="K27" s="44">
        <v>1</v>
      </c>
      <c r="L27" s="44">
        <v>5</v>
      </c>
      <c r="M27" s="44">
        <v>7</v>
      </c>
      <c r="N27" s="44">
        <v>3</v>
      </c>
      <c r="O27" s="44">
        <v>2</v>
      </c>
      <c r="P27" s="44">
        <v>6</v>
      </c>
      <c r="Q27" s="44">
        <v>4</v>
      </c>
      <c r="R27" s="44" t="s">
        <v>1252</v>
      </c>
      <c r="S27" s="44" t="s">
        <v>1252</v>
      </c>
    </row>
    <row r="28" spans="1:19">
      <c r="A28" s="44" t="b">
        <v>1</v>
      </c>
      <c r="B28" s="44" t="s">
        <v>296</v>
      </c>
      <c r="C28" s="44" t="s">
        <v>1208</v>
      </c>
      <c r="D28" s="44" t="s">
        <v>1208</v>
      </c>
      <c r="E28" s="44" t="s">
        <v>1820</v>
      </c>
      <c r="F28" s="44" t="s">
        <v>1880</v>
      </c>
      <c r="G28" s="44" t="s">
        <v>1172</v>
      </c>
      <c r="H28" s="44" t="s">
        <v>1881</v>
      </c>
      <c r="I28" s="44" t="s">
        <v>1882</v>
      </c>
      <c r="J28" s="44"/>
      <c r="K28" s="44">
        <v>3</v>
      </c>
      <c r="L28" s="44">
        <v>5</v>
      </c>
      <c r="M28" s="44">
        <v>1</v>
      </c>
      <c r="N28" s="44">
        <v>2</v>
      </c>
      <c r="O28" s="44">
        <v>4</v>
      </c>
      <c r="P28" s="44">
        <v>6</v>
      </c>
      <c r="Q28" s="44">
        <v>7</v>
      </c>
      <c r="R28" s="44" t="s">
        <v>1883</v>
      </c>
      <c r="S28" s="44" t="s">
        <v>1884</v>
      </c>
    </row>
    <row r="29" spans="1:19">
      <c r="A29" s="44" t="b">
        <v>1</v>
      </c>
      <c r="B29" s="44" t="s">
        <v>301</v>
      </c>
      <c r="C29" s="44" t="s">
        <v>1448</v>
      </c>
      <c r="D29" s="44" t="s">
        <v>1448</v>
      </c>
      <c r="E29" s="44" t="s">
        <v>1798</v>
      </c>
      <c r="F29" s="44" t="s">
        <v>1885</v>
      </c>
      <c r="G29" s="44" t="s">
        <v>1320</v>
      </c>
      <c r="H29" s="44" t="s">
        <v>1320</v>
      </c>
      <c r="I29" s="44" t="s">
        <v>1800</v>
      </c>
      <c r="J29" s="44" t="s">
        <v>1886</v>
      </c>
      <c r="K29" s="44">
        <v>3</v>
      </c>
      <c r="L29" s="44">
        <v>1</v>
      </c>
      <c r="M29" s="44">
        <v>2</v>
      </c>
      <c r="N29" s="44">
        <v>4</v>
      </c>
      <c r="O29" s="44">
        <v>6</v>
      </c>
      <c r="P29" s="44">
        <v>7</v>
      </c>
      <c r="Q29" s="44">
        <v>5</v>
      </c>
      <c r="R29" s="44" t="s">
        <v>1320</v>
      </c>
      <c r="S29" s="44" t="s">
        <v>1320</v>
      </c>
    </row>
    <row r="30" spans="1:19">
      <c r="A30" s="44" t="b">
        <v>1</v>
      </c>
      <c r="B30" s="44" t="s">
        <v>305</v>
      </c>
      <c r="C30" s="44" t="s">
        <v>1209</v>
      </c>
      <c r="D30" s="44" t="s">
        <v>1887</v>
      </c>
      <c r="E30" s="44" t="s">
        <v>1820</v>
      </c>
      <c r="F30" s="44" t="s">
        <v>1888</v>
      </c>
      <c r="G30" s="44" t="s">
        <v>1889</v>
      </c>
      <c r="H30" s="44" t="s">
        <v>1856</v>
      </c>
      <c r="I30" s="44" t="s">
        <v>1817</v>
      </c>
      <c r="J30" s="44" t="s">
        <v>1890</v>
      </c>
      <c r="K30" s="44">
        <v>4</v>
      </c>
      <c r="L30" s="44">
        <v>3</v>
      </c>
      <c r="M30" s="44">
        <v>1</v>
      </c>
      <c r="N30" s="44">
        <v>7</v>
      </c>
      <c r="O30" s="44">
        <v>6</v>
      </c>
      <c r="P30" s="44">
        <v>2</v>
      </c>
      <c r="Q30" s="44">
        <v>5</v>
      </c>
      <c r="R30" s="44" t="s">
        <v>1891</v>
      </c>
      <c r="S30" s="44" t="s">
        <v>1892</v>
      </c>
    </row>
    <row r="31" spans="1:19">
      <c r="A31" s="44" t="b">
        <v>1</v>
      </c>
      <c r="B31" s="44" t="s">
        <v>313</v>
      </c>
      <c r="C31" s="44" t="s">
        <v>1213</v>
      </c>
      <c r="D31" s="44" t="s">
        <v>1893</v>
      </c>
      <c r="E31" s="44" t="s">
        <v>1820</v>
      </c>
      <c r="F31" s="44" t="s">
        <v>1894</v>
      </c>
      <c r="G31" s="44" t="s">
        <v>1172</v>
      </c>
      <c r="H31" s="44" t="s">
        <v>1172</v>
      </c>
      <c r="I31" s="44" t="s">
        <v>1857</v>
      </c>
      <c r="J31" s="44" t="s">
        <v>1895</v>
      </c>
      <c r="K31" s="44">
        <v>1</v>
      </c>
      <c r="L31" s="44">
        <v>3</v>
      </c>
      <c r="M31" s="44">
        <v>2</v>
      </c>
      <c r="N31" s="44">
        <v>4</v>
      </c>
      <c r="O31" s="44">
        <v>6</v>
      </c>
      <c r="P31" s="44">
        <v>5</v>
      </c>
      <c r="Q31" s="44">
        <v>7</v>
      </c>
      <c r="R31" s="44" t="s">
        <v>1896</v>
      </c>
      <c r="S31" s="44" t="s">
        <v>1897</v>
      </c>
    </row>
    <row r="32" spans="1:19">
      <c r="A32" s="44" t="b">
        <v>1</v>
      </c>
      <c r="B32" s="44" t="s">
        <v>320</v>
      </c>
      <c r="C32" s="44" t="s">
        <v>1218</v>
      </c>
      <c r="D32" s="44" t="s">
        <v>1218</v>
      </c>
      <c r="E32" s="44" t="s">
        <v>1820</v>
      </c>
      <c r="F32" s="44" t="s">
        <v>1898</v>
      </c>
      <c r="G32" s="44" t="s">
        <v>1172</v>
      </c>
      <c r="H32" s="44" t="s">
        <v>1172</v>
      </c>
      <c r="I32" s="44" t="s">
        <v>1804</v>
      </c>
      <c r="J32" s="44"/>
      <c r="K32" s="44">
        <v>1</v>
      </c>
      <c r="L32" s="44">
        <v>2</v>
      </c>
      <c r="M32" s="44">
        <v>3</v>
      </c>
      <c r="N32" s="44">
        <v>4</v>
      </c>
      <c r="O32" s="44">
        <v>5</v>
      </c>
      <c r="P32" s="44">
        <v>6</v>
      </c>
      <c r="Q32" s="44">
        <v>7</v>
      </c>
      <c r="R32" s="44" t="s">
        <v>1172</v>
      </c>
      <c r="S32" s="44" t="s">
        <v>1172</v>
      </c>
    </row>
    <row r="33" spans="1:19">
      <c r="A33" s="44" t="b">
        <v>1</v>
      </c>
      <c r="B33" s="44" t="s">
        <v>327</v>
      </c>
      <c r="C33" s="44" t="s">
        <v>1451</v>
      </c>
      <c r="D33" s="44" t="s">
        <v>1451</v>
      </c>
      <c r="E33" s="44" t="s">
        <v>1820</v>
      </c>
      <c r="F33" s="44" t="s">
        <v>1899</v>
      </c>
      <c r="G33" s="44" t="s">
        <v>1900</v>
      </c>
      <c r="H33" s="44" t="s">
        <v>1901</v>
      </c>
      <c r="I33" s="44" t="s">
        <v>1814</v>
      </c>
      <c r="J33" s="44"/>
      <c r="K33" s="44">
        <v>1</v>
      </c>
      <c r="L33" s="44">
        <v>2</v>
      </c>
      <c r="M33" s="44">
        <v>4</v>
      </c>
      <c r="N33" s="44">
        <v>6</v>
      </c>
      <c r="O33" s="44">
        <v>7</v>
      </c>
      <c r="P33" s="44">
        <v>3</v>
      </c>
      <c r="Q33" s="44">
        <v>5</v>
      </c>
      <c r="R33" s="44" t="s">
        <v>1840</v>
      </c>
      <c r="S33" s="44" t="s">
        <v>1840</v>
      </c>
    </row>
    <row r="34" spans="1:19">
      <c r="A34" s="44" t="b">
        <v>1</v>
      </c>
      <c r="B34" s="44" t="s">
        <v>333</v>
      </c>
      <c r="C34" s="44" t="s">
        <v>1453</v>
      </c>
      <c r="D34" s="44" t="s">
        <v>1453</v>
      </c>
      <c r="E34" s="44" t="s">
        <v>1798</v>
      </c>
      <c r="F34" s="44" t="s">
        <v>1902</v>
      </c>
      <c r="G34" s="44" t="s">
        <v>1903</v>
      </c>
      <c r="H34" s="44" t="s">
        <v>1904</v>
      </c>
      <c r="I34" s="44" t="s">
        <v>1828</v>
      </c>
      <c r="J34" s="44"/>
      <c r="K34" s="44">
        <v>5</v>
      </c>
      <c r="L34" s="44">
        <v>3</v>
      </c>
      <c r="M34" s="44">
        <v>1</v>
      </c>
      <c r="N34" s="44">
        <v>4</v>
      </c>
      <c r="O34" s="44">
        <v>6</v>
      </c>
      <c r="P34" s="44">
        <v>2</v>
      </c>
      <c r="Q34" s="44">
        <v>7</v>
      </c>
      <c r="R34" s="44" t="s">
        <v>1172</v>
      </c>
      <c r="S34" s="44" t="s">
        <v>1905</v>
      </c>
    </row>
    <row r="35" spans="1:19">
      <c r="A35" s="44" t="b">
        <v>1</v>
      </c>
      <c r="B35" s="44" t="s">
        <v>336</v>
      </c>
      <c r="C35" s="44" t="s">
        <v>1220</v>
      </c>
      <c r="D35" s="44" t="s">
        <v>1220</v>
      </c>
      <c r="E35" s="44" t="s">
        <v>1798</v>
      </c>
      <c r="F35" s="44" t="s">
        <v>1906</v>
      </c>
      <c r="G35" s="44" t="s">
        <v>1172</v>
      </c>
      <c r="H35" s="44" t="s">
        <v>1172</v>
      </c>
      <c r="I35" s="44" t="s">
        <v>1814</v>
      </c>
      <c r="J35" s="44"/>
      <c r="K35" s="44">
        <v>2</v>
      </c>
      <c r="L35" s="44">
        <v>5</v>
      </c>
      <c r="M35" s="44">
        <v>1</v>
      </c>
      <c r="N35" s="44">
        <v>4</v>
      </c>
      <c r="O35" s="44">
        <v>3</v>
      </c>
      <c r="P35" s="44">
        <v>6</v>
      </c>
      <c r="Q35" s="44">
        <v>7</v>
      </c>
      <c r="R35" s="44" t="s">
        <v>1907</v>
      </c>
      <c r="S35" s="44" t="s">
        <v>1908</v>
      </c>
    </row>
    <row r="36" spans="1:19">
      <c r="A36" s="44" t="b">
        <v>1</v>
      </c>
      <c r="B36" s="44" t="s">
        <v>342</v>
      </c>
      <c r="C36" s="44" t="s">
        <v>1456</v>
      </c>
      <c r="D36" s="44" t="s">
        <v>1456</v>
      </c>
      <c r="E36" s="44" t="s">
        <v>1798</v>
      </c>
      <c r="F36" s="44" t="s">
        <v>1909</v>
      </c>
      <c r="G36" s="44" t="s">
        <v>1172</v>
      </c>
      <c r="H36" s="44" t="s">
        <v>1910</v>
      </c>
      <c r="I36" s="44"/>
      <c r="J36" s="44"/>
      <c r="K36" s="44">
        <v>5</v>
      </c>
      <c r="L36" s="44">
        <v>4</v>
      </c>
      <c r="M36" s="44">
        <v>6</v>
      </c>
      <c r="N36" s="44">
        <v>1</v>
      </c>
      <c r="O36" s="44">
        <v>2</v>
      </c>
      <c r="P36" s="44">
        <v>7</v>
      </c>
      <c r="Q36" s="44">
        <v>3</v>
      </c>
      <c r="R36" s="44" t="s">
        <v>1172</v>
      </c>
      <c r="S36" s="44" t="s">
        <v>1172</v>
      </c>
    </row>
    <row r="37" spans="1:19">
      <c r="A37" s="44" t="b">
        <v>1</v>
      </c>
      <c r="B37" s="44" t="s">
        <v>347</v>
      </c>
      <c r="C37" s="44" t="s">
        <v>1457</v>
      </c>
      <c r="D37" s="44" t="s">
        <v>1457</v>
      </c>
      <c r="E37" s="44" t="s">
        <v>1834</v>
      </c>
      <c r="F37" s="44" t="s">
        <v>1911</v>
      </c>
      <c r="G37" s="44" t="s">
        <v>1172</v>
      </c>
      <c r="H37" s="44" t="s">
        <v>1172</v>
      </c>
      <c r="I37" s="44" t="s">
        <v>1828</v>
      </c>
      <c r="J37" s="44"/>
      <c r="K37" s="44">
        <v>4</v>
      </c>
      <c r="L37" s="44">
        <v>3</v>
      </c>
      <c r="M37" s="44">
        <v>2</v>
      </c>
      <c r="N37" s="44">
        <v>5</v>
      </c>
      <c r="O37" s="44">
        <v>1</v>
      </c>
      <c r="P37" s="44">
        <v>6</v>
      </c>
      <c r="Q37" s="44">
        <v>7</v>
      </c>
      <c r="R37" s="44" t="s">
        <v>1172</v>
      </c>
      <c r="S37" s="44" t="s">
        <v>1172</v>
      </c>
    </row>
    <row r="38" spans="1:19">
      <c r="A38" s="44" t="b">
        <v>1</v>
      </c>
      <c r="B38" s="96" t="s">
        <v>357</v>
      </c>
      <c r="C38" s="44" t="s">
        <v>1458</v>
      </c>
      <c r="D38" s="44" t="s">
        <v>1912</v>
      </c>
      <c r="E38" s="44" t="s">
        <v>1798</v>
      </c>
      <c r="F38" s="44" t="s">
        <v>1913</v>
      </c>
      <c r="G38" s="44" t="s">
        <v>1172</v>
      </c>
      <c r="H38" s="44" t="s">
        <v>1914</v>
      </c>
      <c r="I38" s="44" t="s">
        <v>1915</v>
      </c>
      <c r="J38" s="43"/>
      <c r="K38" s="44">
        <v>1</v>
      </c>
      <c r="L38" s="44">
        <v>3</v>
      </c>
      <c r="M38" s="44">
        <v>7</v>
      </c>
      <c r="N38" s="44">
        <v>2</v>
      </c>
      <c r="O38" s="44">
        <v>5</v>
      </c>
      <c r="P38" s="44">
        <v>4</v>
      </c>
      <c r="Q38" s="44">
        <v>6</v>
      </c>
      <c r="R38" s="44" t="s">
        <v>1172</v>
      </c>
      <c r="S38" s="44" t="s">
        <v>1916</v>
      </c>
    </row>
    <row r="39" spans="1:19" ht="15.75" customHeight="1">
      <c r="A39" s="44" t="b">
        <v>1</v>
      </c>
      <c r="B39" s="96" t="s">
        <v>362</v>
      </c>
      <c r="C39" s="44" t="s">
        <v>1461</v>
      </c>
      <c r="D39" s="44" t="s">
        <v>1461</v>
      </c>
      <c r="E39" s="44" t="s">
        <v>1798</v>
      </c>
      <c r="F39" s="44" t="s">
        <v>1917</v>
      </c>
      <c r="G39" s="44" t="s">
        <v>1172</v>
      </c>
      <c r="H39" s="44" t="s">
        <v>1918</v>
      </c>
      <c r="I39" s="44" t="s">
        <v>1800</v>
      </c>
      <c r="J39" s="44" t="s">
        <v>1320</v>
      </c>
      <c r="K39" s="44">
        <v>2</v>
      </c>
      <c r="L39" s="44">
        <v>1</v>
      </c>
      <c r="M39" s="44">
        <v>4</v>
      </c>
      <c r="N39" s="44">
        <v>7</v>
      </c>
      <c r="O39" s="44">
        <v>6</v>
      </c>
      <c r="P39" s="44">
        <v>3</v>
      </c>
      <c r="Q39" s="44">
        <v>5</v>
      </c>
      <c r="R39" s="44" t="s">
        <v>1172</v>
      </c>
      <c r="S39" s="44" t="s">
        <v>1919</v>
      </c>
    </row>
    <row r="40" spans="1:19" ht="15.75" customHeight="1">
      <c r="A40" s="44" t="b">
        <v>1</v>
      </c>
      <c r="B40" s="96" t="s">
        <v>369</v>
      </c>
      <c r="C40" s="44" t="s">
        <v>1223</v>
      </c>
      <c r="D40" s="44" t="s">
        <v>1224</v>
      </c>
      <c r="E40" s="44" t="s">
        <v>1820</v>
      </c>
      <c r="F40" s="44" t="s">
        <v>1920</v>
      </c>
      <c r="G40" s="44" t="s">
        <v>1172</v>
      </c>
      <c r="H40" s="44" t="s">
        <v>1172</v>
      </c>
      <c r="I40" s="44" t="s">
        <v>1915</v>
      </c>
      <c r="J40" s="43"/>
      <c r="K40" s="44">
        <v>1</v>
      </c>
      <c r="L40" s="44">
        <v>2</v>
      </c>
      <c r="M40" s="44">
        <v>3</v>
      </c>
      <c r="N40" s="44">
        <v>5</v>
      </c>
      <c r="O40" s="44">
        <v>4</v>
      </c>
      <c r="P40" s="44">
        <v>7</v>
      </c>
      <c r="Q40" s="44">
        <v>6</v>
      </c>
      <c r="R40" s="43"/>
      <c r="S40" s="44" t="s">
        <v>1921</v>
      </c>
    </row>
    <row r="41" spans="1:19" ht="15.75" customHeight="1">
      <c r="A41" s="44" t="b">
        <v>1</v>
      </c>
      <c r="B41" s="96" t="s">
        <v>377</v>
      </c>
      <c r="C41" s="44" t="s">
        <v>1462</v>
      </c>
      <c r="D41" s="44" t="s">
        <v>1922</v>
      </c>
      <c r="E41" s="44" t="s">
        <v>1798</v>
      </c>
      <c r="F41" s="44" t="s">
        <v>1923</v>
      </c>
      <c r="G41" s="44" t="s">
        <v>1172</v>
      </c>
      <c r="H41" s="44" t="s">
        <v>1172</v>
      </c>
      <c r="I41" s="44" t="s">
        <v>1814</v>
      </c>
      <c r="J41" s="43"/>
      <c r="K41" s="44">
        <v>2</v>
      </c>
      <c r="L41" s="44">
        <v>7</v>
      </c>
      <c r="M41" s="44">
        <v>1</v>
      </c>
      <c r="N41" s="44">
        <v>4</v>
      </c>
      <c r="O41" s="44">
        <v>5</v>
      </c>
      <c r="P41" s="44">
        <v>3</v>
      </c>
      <c r="Q41" s="44">
        <v>6</v>
      </c>
      <c r="R41" s="44" t="s">
        <v>1172</v>
      </c>
      <c r="S41" s="44" t="s">
        <v>1172</v>
      </c>
    </row>
    <row r="42" spans="1:19" ht="15.75" customHeight="1">
      <c r="A42" s="44" t="b">
        <v>1</v>
      </c>
      <c r="B42" s="96" t="s">
        <v>390</v>
      </c>
      <c r="C42" s="44" t="s">
        <v>1463</v>
      </c>
      <c r="D42" s="44" t="s">
        <v>1463</v>
      </c>
      <c r="E42" s="44" t="s">
        <v>1798</v>
      </c>
      <c r="F42" s="44" t="s">
        <v>1924</v>
      </c>
      <c r="G42" s="44" t="s">
        <v>1925</v>
      </c>
      <c r="H42" s="44" t="s">
        <v>1926</v>
      </c>
      <c r="I42" s="44" t="s">
        <v>1800</v>
      </c>
      <c r="J42" s="44" t="s">
        <v>1927</v>
      </c>
      <c r="K42" s="44">
        <v>1</v>
      </c>
      <c r="L42" s="44">
        <v>6</v>
      </c>
      <c r="M42" s="44">
        <v>5</v>
      </c>
      <c r="N42" s="44">
        <v>4</v>
      </c>
      <c r="O42" s="44">
        <v>7</v>
      </c>
      <c r="P42" s="44">
        <v>2</v>
      </c>
      <c r="Q42" s="44">
        <v>3</v>
      </c>
      <c r="R42" s="44" t="s">
        <v>1928</v>
      </c>
      <c r="S42" s="44" t="s">
        <v>1929</v>
      </c>
    </row>
    <row r="43" spans="1:19" ht="15.75" customHeight="1">
      <c r="A43" s="44" t="b">
        <v>1</v>
      </c>
      <c r="B43" s="96" t="s">
        <v>395</v>
      </c>
      <c r="C43" s="44" t="s">
        <v>1465</v>
      </c>
      <c r="D43" s="44" t="s">
        <v>1465</v>
      </c>
      <c r="E43" s="44" t="s">
        <v>1798</v>
      </c>
      <c r="F43" s="44" t="s">
        <v>1930</v>
      </c>
      <c r="G43" s="44" t="s">
        <v>1172</v>
      </c>
      <c r="H43" s="44" t="s">
        <v>1172</v>
      </c>
      <c r="I43" s="44" t="s">
        <v>1804</v>
      </c>
      <c r="J43" s="43"/>
      <c r="K43" s="44">
        <v>7</v>
      </c>
      <c r="L43" s="44">
        <v>2</v>
      </c>
      <c r="M43" s="44">
        <v>3</v>
      </c>
      <c r="N43" s="44">
        <v>1</v>
      </c>
      <c r="O43" s="44">
        <v>4</v>
      </c>
      <c r="P43" s="44">
        <v>6</v>
      </c>
      <c r="Q43" s="44">
        <v>5</v>
      </c>
      <c r="R43" s="44" t="s">
        <v>1172</v>
      </c>
      <c r="S43" s="44" t="s">
        <v>1172</v>
      </c>
    </row>
    <row r="44" spans="1:19" ht="15.75" customHeight="1">
      <c r="A44" s="44" t="b">
        <v>1</v>
      </c>
      <c r="B44" s="96" t="s">
        <v>400</v>
      </c>
      <c r="C44" s="44" t="s">
        <v>1467</v>
      </c>
      <c r="D44" s="44" t="s">
        <v>1467</v>
      </c>
      <c r="E44" s="44" t="s">
        <v>1931</v>
      </c>
      <c r="F44" s="44" t="s">
        <v>10</v>
      </c>
      <c r="G44" s="44" t="s">
        <v>1932</v>
      </c>
      <c r="H44" s="44" t="s">
        <v>578</v>
      </c>
      <c r="I44" s="44" t="s">
        <v>1882</v>
      </c>
      <c r="J44" s="43"/>
      <c r="K44" s="44">
        <v>4</v>
      </c>
      <c r="L44" s="44">
        <v>2</v>
      </c>
      <c r="M44" s="44">
        <v>3</v>
      </c>
      <c r="N44" s="44">
        <v>5</v>
      </c>
      <c r="O44" s="44">
        <v>6</v>
      </c>
      <c r="P44" s="44">
        <v>1</v>
      </c>
      <c r="Q44" s="44">
        <v>7</v>
      </c>
      <c r="R44" s="44" t="s">
        <v>1933</v>
      </c>
      <c r="S44" s="44" t="s">
        <v>1934</v>
      </c>
    </row>
    <row r="45" spans="1:19" ht="15.75" customHeight="1">
      <c r="A45" s="44" t="b">
        <v>1</v>
      </c>
      <c r="B45" s="96" t="s">
        <v>404</v>
      </c>
      <c r="C45" s="44" t="s">
        <v>1470</v>
      </c>
      <c r="D45" s="44" t="s">
        <v>1470</v>
      </c>
      <c r="E45" s="44" t="s">
        <v>1834</v>
      </c>
      <c r="F45" s="44">
        <v>0</v>
      </c>
      <c r="G45" s="44">
        <v>0</v>
      </c>
      <c r="H45" s="44">
        <v>0</v>
      </c>
      <c r="I45" s="44" t="s">
        <v>1804</v>
      </c>
      <c r="J45" s="43"/>
      <c r="K45" s="44">
        <v>3</v>
      </c>
      <c r="L45" s="44">
        <v>1</v>
      </c>
      <c r="M45" s="44">
        <v>2</v>
      </c>
      <c r="N45" s="44">
        <v>6</v>
      </c>
      <c r="O45" s="44">
        <v>7</v>
      </c>
      <c r="P45" s="44">
        <v>4</v>
      </c>
      <c r="Q45" s="44">
        <v>5</v>
      </c>
      <c r="R45" s="44">
        <v>0</v>
      </c>
      <c r="S45" s="44">
        <v>0</v>
      </c>
    </row>
    <row r="46" spans="1:19" ht="15.75" customHeight="1">
      <c r="A46" s="44" t="b">
        <v>1</v>
      </c>
      <c r="B46" s="96" t="s">
        <v>407</v>
      </c>
      <c r="C46" s="44" t="s">
        <v>1472</v>
      </c>
      <c r="D46" s="44" t="s">
        <v>1935</v>
      </c>
      <c r="E46" s="44" t="s">
        <v>1798</v>
      </c>
      <c r="F46" s="44" t="s">
        <v>1936</v>
      </c>
      <c r="G46" s="44" t="s">
        <v>1172</v>
      </c>
      <c r="H46" s="44" t="s">
        <v>1172</v>
      </c>
      <c r="I46" s="44" t="s">
        <v>1800</v>
      </c>
      <c r="J46" s="44" t="s">
        <v>1937</v>
      </c>
      <c r="K46" s="44">
        <v>2</v>
      </c>
      <c r="L46" s="44">
        <v>7</v>
      </c>
      <c r="M46" s="44">
        <v>1</v>
      </c>
      <c r="N46" s="44">
        <v>4</v>
      </c>
      <c r="O46" s="44">
        <v>5</v>
      </c>
      <c r="P46" s="44">
        <v>3</v>
      </c>
      <c r="Q46" s="44">
        <v>6</v>
      </c>
      <c r="R46" s="44" t="s">
        <v>1938</v>
      </c>
      <c r="S46" s="44" t="s">
        <v>1939</v>
      </c>
    </row>
    <row r="47" spans="1:19" ht="15.75" customHeight="1">
      <c r="A47" s="44" t="b">
        <v>1</v>
      </c>
      <c r="B47" s="96" t="s">
        <v>413</v>
      </c>
      <c r="C47" s="44" t="s">
        <v>1476</v>
      </c>
      <c r="D47" s="44" t="s">
        <v>1476</v>
      </c>
      <c r="E47" s="44" t="s">
        <v>1798</v>
      </c>
      <c r="F47" s="44" t="s">
        <v>1940</v>
      </c>
      <c r="G47" s="44" t="s">
        <v>1172</v>
      </c>
      <c r="H47" s="44" t="s">
        <v>1941</v>
      </c>
      <c r="I47" s="44" t="s">
        <v>1814</v>
      </c>
      <c r="J47" s="43"/>
      <c r="K47" s="44">
        <v>3</v>
      </c>
      <c r="L47" s="44">
        <v>1</v>
      </c>
      <c r="M47" s="44">
        <v>6</v>
      </c>
      <c r="N47" s="44">
        <v>5</v>
      </c>
      <c r="O47" s="44">
        <v>4</v>
      </c>
      <c r="P47" s="44">
        <v>2</v>
      </c>
      <c r="Q47" s="44">
        <v>7</v>
      </c>
      <c r="R47" s="44" t="s">
        <v>1942</v>
      </c>
      <c r="S47" s="44" t="s">
        <v>1943</v>
      </c>
    </row>
    <row r="48" spans="1:19" ht="15.75" customHeight="1">
      <c r="A48" s="44" t="b">
        <v>1</v>
      </c>
      <c r="B48" s="96" t="s">
        <v>417</v>
      </c>
      <c r="C48" s="44" t="s">
        <v>1226</v>
      </c>
      <c r="D48" s="97" t="s">
        <v>1227</v>
      </c>
      <c r="E48" s="97" t="s">
        <v>1798</v>
      </c>
      <c r="F48" s="97" t="s">
        <v>1944</v>
      </c>
      <c r="G48" s="97" t="s">
        <v>1172</v>
      </c>
      <c r="H48" s="97" t="s">
        <v>1172</v>
      </c>
      <c r="I48" s="97" t="s">
        <v>1804</v>
      </c>
      <c r="J48" s="97"/>
      <c r="K48" s="97">
        <v>1</v>
      </c>
      <c r="L48" s="97">
        <v>3</v>
      </c>
      <c r="M48" s="97">
        <v>2</v>
      </c>
      <c r="N48" s="97">
        <v>4</v>
      </c>
      <c r="O48" s="97">
        <v>5</v>
      </c>
      <c r="P48" s="97">
        <v>6</v>
      </c>
      <c r="Q48" s="97">
        <v>7</v>
      </c>
      <c r="R48" s="97" t="s">
        <v>1945</v>
      </c>
      <c r="S48" s="97" t="s">
        <v>1946</v>
      </c>
    </row>
    <row r="49" spans="1:19" ht="15.75" customHeight="1">
      <c r="A49" s="44" t="b">
        <v>1</v>
      </c>
      <c r="B49" s="96" t="s">
        <v>423</v>
      </c>
      <c r="C49" s="44" t="s">
        <v>1230</v>
      </c>
      <c r="D49" s="97" t="s">
        <v>1230</v>
      </c>
      <c r="E49" s="97" t="s">
        <v>1820</v>
      </c>
      <c r="F49" s="97" t="s">
        <v>1947</v>
      </c>
      <c r="G49" s="97" t="s">
        <v>1172</v>
      </c>
      <c r="H49" s="97" t="s">
        <v>1172</v>
      </c>
      <c r="I49" s="97" t="s">
        <v>1804</v>
      </c>
      <c r="J49" s="97"/>
      <c r="K49" s="97">
        <v>1</v>
      </c>
      <c r="L49" s="97">
        <v>2</v>
      </c>
      <c r="M49" s="97">
        <v>3</v>
      </c>
      <c r="N49" s="97">
        <v>4</v>
      </c>
      <c r="O49" s="97">
        <v>5</v>
      </c>
      <c r="P49" s="97">
        <v>6</v>
      </c>
      <c r="Q49" s="97">
        <v>7</v>
      </c>
      <c r="R49" s="97" t="s">
        <v>1172</v>
      </c>
      <c r="S49" s="97" t="s">
        <v>1172</v>
      </c>
    </row>
    <row r="50" spans="1:19" ht="15.75" customHeight="1">
      <c r="A50" s="44" t="b">
        <v>1</v>
      </c>
      <c r="B50" s="96" t="s">
        <v>427</v>
      </c>
      <c r="C50" s="44" t="s">
        <v>1382</v>
      </c>
      <c r="D50" s="44"/>
      <c r="E50" s="44"/>
      <c r="F50" s="44"/>
      <c r="G50" s="44"/>
      <c r="H50" s="44"/>
      <c r="I50" s="44"/>
      <c r="J50" s="43"/>
      <c r="K50" s="44"/>
      <c r="L50" s="44"/>
      <c r="M50" s="44"/>
      <c r="N50" s="44"/>
      <c r="O50" s="44"/>
      <c r="P50" s="44"/>
      <c r="Q50" s="44"/>
      <c r="R50" s="44"/>
      <c r="S50" s="44"/>
    </row>
    <row r="51" spans="1:19" ht="15.75" customHeight="1">
      <c r="A51" s="44" t="b">
        <v>1</v>
      </c>
      <c r="B51" s="96" t="s">
        <v>432</v>
      </c>
      <c r="C51" s="44" t="s">
        <v>1235</v>
      </c>
      <c r="D51" s="44" t="s">
        <v>1948</v>
      </c>
      <c r="E51" s="44" t="s">
        <v>1820</v>
      </c>
      <c r="F51" s="44" t="s">
        <v>1949</v>
      </c>
      <c r="G51" s="44" t="s">
        <v>1252</v>
      </c>
      <c r="H51" s="44" t="s">
        <v>1252</v>
      </c>
      <c r="I51" s="44" t="s">
        <v>1882</v>
      </c>
      <c r="J51" s="43"/>
      <c r="K51" s="44">
        <v>2</v>
      </c>
      <c r="L51" s="44">
        <v>3</v>
      </c>
      <c r="M51" s="44">
        <v>4</v>
      </c>
      <c r="N51" s="44">
        <v>1</v>
      </c>
      <c r="O51" s="44">
        <v>5</v>
      </c>
      <c r="P51" s="44">
        <v>6</v>
      </c>
      <c r="Q51" s="44">
        <v>7</v>
      </c>
      <c r="R51" s="44" t="s">
        <v>1252</v>
      </c>
      <c r="S51" s="44" t="s">
        <v>1252</v>
      </c>
    </row>
    <row r="52" spans="1:19" ht="15.75" customHeight="1">
      <c r="A52" s="44" t="b">
        <v>1</v>
      </c>
      <c r="B52" s="96" t="s">
        <v>438</v>
      </c>
      <c r="C52" s="44" t="s">
        <v>1479</v>
      </c>
      <c r="D52" s="44" t="s">
        <v>1479</v>
      </c>
      <c r="E52" s="44" t="s">
        <v>1834</v>
      </c>
      <c r="F52" s="44" t="s">
        <v>1252</v>
      </c>
      <c r="G52" s="44" t="s">
        <v>1172</v>
      </c>
      <c r="H52" s="44" t="s">
        <v>1172</v>
      </c>
      <c r="I52" s="44" t="s">
        <v>1814</v>
      </c>
      <c r="J52" s="43"/>
      <c r="K52" s="44">
        <v>1</v>
      </c>
      <c r="L52" s="44">
        <v>2</v>
      </c>
      <c r="M52" s="44">
        <v>4</v>
      </c>
      <c r="N52" s="44">
        <v>3</v>
      </c>
      <c r="O52" s="44">
        <v>5</v>
      </c>
      <c r="P52" s="44">
        <v>6</v>
      </c>
      <c r="Q52" s="44">
        <v>7</v>
      </c>
      <c r="R52" s="44" t="s">
        <v>1172</v>
      </c>
      <c r="S52" s="44" t="s">
        <v>1172</v>
      </c>
    </row>
    <row r="53" spans="1:19" ht="15.75" customHeight="1">
      <c r="A53" s="44" t="b">
        <v>1</v>
      </c>
      <c r="B53" s="96" t="s">
        <v>442</v>
      </c>
      <c r="C53" s="44" t="s">
        <v>1239</v>
      </c>
      <c r="D53" s="44" t="s">
        <v>1239</v>
      </c>
      <c r="E53" s="44" t="s">
        <v>1798</v>
      </c>
      <c r="F53" s="44" t="s">
        <v>1950</v>
      </c>
      <c r="G53" s="44" t="s">
        <v>1172</v>
      </c>
      <c r="H53" s="44" t="s">
        <v>1172</v>
      </c>
      <c r="I53" s="44" t="s">
        <v>1814</v>
      </c>
      <c r="J53" s="43"/>
      <c r="K53" s="44">
        <v>1</v>
      </c>
      <c r="L53" s="44">
        <v>2</v>
      </c>
      <c r="M53" s="44">
        <v>3</v>
      </c>
      <c r="N53" s="44">
        <v>6</v>
      </c>
      <c r="O53" s="44">
        <v>5</v>
      </c>
      <c r="P53" s="44">
        <v>4</v>
      </c>
      <c r="Q53" s="44">
        <v>7</v>
      </c>
      <c r="R53" s="44" t="s">
        <v>1172</v>
      </c>
      <c r="S53" s="44" t="s">
        <v>1172</v>
      </c>
    </row>
    <row r="54" spans="1:19" ht="15.75" customHeight="1">
      <c r="A54" s="44" t="b">
        <v>1</v>
      </c>
      <c r="B54" s="96" t="s">
        <v>453</v>
      </c>
      <c r="C54" s="44" t="s">
        <v>1241</v>
      </c>
      <c r="D54" s="44" t="s">
        <v>1951</v>
      </c>
      <c r="E54" s="44" t="s">
        <v>1798</v>
      </c>
      <c r="F54" s="44" t="s">
        <v>1952</v>
      </c>
      <c r="G54" s="44" t="s">
        <v>1844</v>
      </c>
      <c r="H54" s="44" t="s">
        <v>1844</v>
      </c>
      <c r="I54" s="44" t="s">
        <v>1828</v>
      </c>
      <c r="J54" s="43"/>
      <c r="K54" s="44">
        <v>1</v>
      </c>
      <c r="L54" s="44">
        <v>4</v>
      </c>
      <c r="M54" s="44">
        <v>6</v>
      </c>
      <c r="N54" s="44">
        <v>7</v>
      </c>
      <c r="O54" s="44">
        <v>5</v>
      </c>
      <c r="P54" s="44">
        <v>2</v>
      </c>
      <c r="Q54" s="44">
        <v>3</v>
      </c>
      <c r="R54" s="44" t="s">
        <v>1953</v>
      </c>
      <c r="S54" s="43"/>
    </row>
    <row r="55" spans="1:19" ht="15.75" customHeight="1">
      <c r="A55" s="44" t="b">
        <v>1</v>
      </c>
      <c r="B55" s="96" t="s">
        <v>458</v>
      </c>
      <c r="C55" s="44" t="s">
        <v>1480</v>
      </c>
      <c r="D55" s="44" t="s">
        <v>1480</v>
      </c>
      <c r="E55" s="44" t="s">
        <v>1798</v>
      </c>
      <c r="F55" s="44" t="s">
        <v>1954</v>
      </c>
      <c r="G55" s="44" t="s">
        <v>1320</v>
      </c>
      <c r="H55" s="44" t="s">
        <v>1320</v>
      </c>
      <c r="I55" s="44" t="s">
        <v>1814</v>
      </c>
      <c r="J55" s="43"/>
      <c r="K55" s="44">
        <v>1</v>
      </c>
      <c r="L55" s="44">
        <v>3</v>
      </c>
      <c r="M55" s="44">
        <v>2</v>
      </c>
      <c r="N55" s="44">
        <v>4</v>
      </c>
      <c r="O55" s="44">
        <v>5</v>
      </c>
      <c r="P55" s="44">
        <v>6</v>
      </c>
      <c r="Q55" s="44">
        <v>7</v>
      </c>
      <c r="R55" s="44" t="s">
        <v>1320</v>
      </c>
      <c r="S55" s="44" t="s">
        <v>1320</v>
      </c>
    </row>
    <row r="56" spans="1:19" ht="15.75" customHeight="1">
      <c r="A56" s="44" t="b">
        <v>1</v>
      </c>
      <c r="B56" s="96" t="s">
        <v>462</v>
      </c>
      <c r="C56" s="44" t="s">
        <v>1482</v>
      </c>
      <c r="D56" s="44" t="s">
        <v>1955</v>
      </c>
      <c r="E56" s="44" t="s">
        <v>1820</v>
      </c>
      <c r="F56" s="44" t="s">
        <v>1956</v>
      </c>
      <c r="G56" s="44" t="s">
        <v>1957</v>
      </c>
      <c r="H56" s="44" t="s">
        <v>1958</v>
      </c>
      <c r="I56" s="44" t="s">
        <v>1882</v>
      </c>
      <c r="J56" s="43"/>
      <c r="K56" s="44">
        <v>2</v>
      </c>
      <c r="L56" s="44">
        <v>7</v>
      </c>
      <c r="M56" s="44">
        <v>1</v>
      </c>
      <c r="N56" s="44">
        <v>6</v>
      </c>
      <c r="O56" s="44">
        <v>3</v>
      </c>
      <c r="P56" s="44">
        <v>5</v>
      </c>
      <c r="Q56" s="44">
        <v>4</v>
      </c>
      <c r="R56" s="44" t="s">
        <v>1959</v>
      </c>
      <c r="S56" s="44" t="s">
        <v>1252</v>
      </c>
    </row>
    <row r="57" spans="1:19" ht="15.75" customHeight="1">
      <c r="A57" s="44" t="b">
        <v>1</v>
      </c>
      <c r="B57" s="96" t="s">
        <v>468</v>
      </c>
      <c r="C57" s="44" t="s">
        <v>1485</v>
      </c>
      <c r="D57" s="44" t="s">
        <v>1960</v>
      </c>
      <c r="E57" s="44" t="s">
        <v>1834</v>
      </c>
      <c r="F57" s="44" t="s">
        <v>1961</v>
      </c>
      <c r="G57" s="44" t="s">
        <v>1962</v>
      </c>
      <c r="H57" s="44" t="s">
        <v>1963</v>
      </c>
      <c r="I57" s="43"/>
      <c r="J57" s="43"/>
      <c r="K57" s="44">
        <v>1</v>
      </c>
      <c r="L57" s="44">
        <v>3</v>
      </c>
      <c r="M57" s="44">
        <v>2</v>
      </c>
      <c r="N57" s="44">
        <v>4</v>
      </c>
      <c r="O57" s="44">
        <v>5</v>
      </c>
      <c r="P57" s="44">
        <v>7</v>
      </c>
      <c r="Q57" s="44">
        <v>6</v>
      </c>
      <c r="R57" s="44" t="s">
        <v>1964</v>
      </c>
      <c r="S57" s="44" t="s">
        <v>1962</v>
      </c>
    </row>
    <row r="58" spans="1:19" ht="15.75" customHeight="1">
      <c r="A58" s="44" t="b">
        <v>1</v>
      </c>
      <c r="B58" s="96" t="s">
        <v>478</v>
      </c>
      <c r="C58" s="44" t="s">
        <v>1488</v>
      </c>
      <c r="D58" s="44" t="s">
        <v>1488</v>
      </c>
      <c r="E58" s="44" t="s">
        <v>1798</v>
      </c>
      <c r="F58" s="44" t="s">
        <v>1965</v>
      </c>
      <c r="G58" s="44" t="s">
        <v>1172</v>
      </c>
      <c r="H58" s="44" t="s">
        <v>1172</v>
      </c>
      <c r="I58" s="44" t="s">
        <v>1828</v>
      </c>
      <c r="J58" s="43"/>
      <c r="K58" s="44">
        <v>4</v>
      </c>
      <c r="L58" s="44">
        <v>1</v>
      </c>
      <c r="M58" s="44">
        <v>3</v>
      </c>
      <c r="N58" s="44">
        <v>6</v>
      </c>
      <c r="O58" s="44">
        <v>7</v>
      </c>
      <c r="P58" s="44">
        <v>2</v>
      </c>
      <c r="Q58" s="44">
        <v>5</v>
      </c>
      <c r="R58" s="44" t="s">
        <v>1172</v>
      </c>
      <c r="S58" s="44" t="s">
        <v>1172</v>
      </c>
    </row>
    <row r="59" spans="1:19" ht="15.75" customHeight="1">
      <c r="A59" s="44" t="b">
        <v>1</v>
      </c>
      <c r="B59" s="96" t="s">
        <v>489</v>
      </c>
      <c r="C59" s="44" t="s">
        <v>1246</v>
      </c>
      <c r="D59" s="44" t="s">
        <v>1246</v>
      </c>
      <c r="E59" s="44" t="s">
        <v>1798</v>
      </c>
      <c r="F59" s="44" t="s">
        <v>1966</v>
      </c>
      <c r="G59" s="44" t="s">
        <v>1320</v>
      </c>
      <c r="H59" s="44" t="s">
        <v>1172</v>
      </c>
      <c r="I59" s="44" t="s">
        <v>1967</v>
      </c>
      <c r="J59" s="44" t="s">
        <v>1968</v>
      </c>
      <c r="K59" s="44">
        <v>1</v>
      </c>
      <c r="L59" s="44">
        <v>2</v>
      </c>
      <c r="M59" s="44">
        <v>3</v>
      </c>
      <c r="N59" s="44">
        <v>5</v>
      </c>
      <c r="O59" s="44">
        <v>7</v>
      </c>
      <c r="P59" s="44">
        <v>4</v>
      </c>
      <c r="Q59" s="44">
        <v>6</v>
      </c>
      <c r="R59" s="43"/>
      <c r="S59" s="44" t="s">
        <v>1172</v>
      </c>
    </row>
    <row r="60" spans="1:19" ht="15.75" customHeight="1">
      <c r="A60" s="44" t="b">
        <v>1</v>
      </c>
      <c r="B60" s="96" t="s">
        <v>501</v>
      </c>
      <c r="C60" s="44" t="s">
        <v>1490</v>
      </c>
      <c r="D60" s="44" t="s">
        <v>1490</v>
      </c>
      <c r="E60" s="44" t="s">
        <v>1798</v>
      </c>
      <c r="F60" s="44" t="s">
        <v>1969</v>
      </c>
      <c r="G60" s="44" t="s">
        <v>1172</v>
      </c>
      <c r="H60" s="44" t="s">
        <v>1172</v>
      </c>
      <c r="I60" s="44" t="s">
        <v>1828</v>
      </c>
      <c r="J60" s="43"/>
      <c r="K60" s="44">
        <v>1</v>
      </c>
      <c r="L60" s="44">
        <v>5</v>
      </c>
      <c r="M60" s="44">
        <v>4</v>
      </c>
      <c r="N60" s="44">
        <v>2</v>
      </c>
      <c r="O60" s="44">
        <v>3</v>
      </c>
      <c r="P60" s="44">
        <v>7</v>
      </c>
      <c r="Q60" s="44">
        <v>6</v>
      </c>
      <c r="R60" s="44" t="s">
        <v>1172</v>
      </c>
      <c r="S60" s="44" t="s">
        <v>1172</v>
      </c>
    </row>
    <row r="61" spans="1:19" ht="15.75" customHeight="1">
      <c r="A61" s="44" t="b">
        <v>1</v>
      </c>
      <c r="B61" s="96" t="s">
        <v>513</v>
      </c>
      <c r="C61" s="44" t="s">
        <v>1250</v>
      </c>
      <c r="D61" s="44" t="s">
        <v>1970</v>
      </c>
      <c r="E61" s="44" t="s">
        <v>1820</v>
      </c>
      <c r="F61" s="44" t="s">
        <v>1971</v>
      </c>
      <c r="G61" s="44" t="s">
        <v>1807</v>
      </c>
      <c r="H61" s="44" t="s">
        <v>1807</v>
      </c>
      <c r="I61" s="44" t="s">
        <v>1817</v>
      </c>
      <c r="J61" s="44" t="s">
        <v>1972</v>
      </c>
      <c r="K61" s="44">
        <v>1</v>
      </c>
      <c r="L61" s="44">
        <v>2</v>
      </c>
      <c r="M61" s="44">
        <v>5</v>
      </c>
      <c r="N61" s="44">
        <v>6</v>
      </c>
      <c r="O61" s="44">
        <v>3</v>
      </c>
      <c r="P61" s="44">
        <v>4</v>
      </c>
      <c r="Q61" s="44">
        <v>7</v>
      </c>
      <c r="R61" s="44" t="s">
        <v>1973</v>
      </c>
      <c r="S61" s="44" t="s">
        <v>1974</v>
      </c>
    </row>
    <row r="62" spans="1:19" ht="15.75" customHeight="1">
      <c r="A62" s="44" t="b">
        <v>1</v>
      </c>
      <c r="B62" s="96" t="s">
        <v>519</v>
      </c>
      <c r="C62" s="44" t="s">
        <v>1494</v>
      </c>
      <c r="D62" s="44" t="s">
        <v>1975</v>
      </c>
      <c r="E62" s="44" t="s">
        <v>1798</v>
      </c>
      <c r="F62" s="44" t="s">
        <v>1976</v>
      </c>
      <c r="G62" s="44" t="s">
        <v>1856</v>
      </c>
      <c r="H62" s="44" t="s">
        <v>1856</v>
      </c>
      <c r="I62" s="44" t="s">
        <v>1814</v>
      </c>
      <c r="J62" s="43"/>
      <c r="K62" s="44">
        <v>3</v>
      </c>
      <c r="L62" s="44">
        <v>4</v>
      </c>
      <c r="M62" s="44">
        <v>2</v>
      </c>
      <c r="N62" s="44">
        <v>1</v>
      </c>
      <c r="O62" s="44">
        <v>6</v>
      </c>
      <c r="P62" s="44">
        <v>5</v>
      </c>
      <c r="Q62" s="44">
        <v>7</v>
      </c>
      <c r="R62" s="44" t="s">
        <v>1977</v>
      </c>
      <c r="S62" s="44" t="s">
        <v>1978</v>
      </c>
    </row>
    <row r="63" spans="1:19" ht="15.75" customHeight="1">
      <c r="A63" s="44" t="b">
        <v>1</v>
      </c>
      <c r="B63" s="96" t="s">
        <v>529</v>
      </c>
      <c r="C63" s="44" t="s">
        <v>1498</v>
      </c>
      <c r="D63" s="44" t="s">
        <v>1499</v>
      </c>
      <c r="E63" s="44" t="s">
        <v>1834</v>
      </c>
      <c r="F63" s="44" t="s">
        <v>1937</v>
      </c>
      <c r="G63" s="44" t="s">
        <v>1172</v>
      </c>
      <c r="H63" s="44" t="s">
        <v>1979</v>
      </c>
      <c r="I63" s="44" t="s">
        <v>1800</v>
      </c>
      <c r="J63" s="44" t="s">
        <v>1937</v>
      </c>
      <c r="K63" s="44">
        <v>2</v>
      </c>
      <c r="L63" s="44">
        <v>7</v>
      </c>
      <c r="M63" s="44">
        <v>4</v>
      </c>
      <c r="N63" s="44">
        <v>6</v>
      </c>
      <c r="O63" s="44">
        <v>1</v>
      </c>
      <c r="P63" s="44">
        <v>3</v>
      </c>
      <c r="Q63" s="44">
        <v>5</v>
      </c>
      <c r="R63" s="44" t="s">
        <v>1980</v>
      </c>
      <c r="S63" s="44" t="s">
        <v>1937</v>
      </c>
    </row>
    <row r="64" spans="1:19" ht="15.75" customHeight="1">
      <c r="A64" s="44" t="b">
        <v>1</v>
      </c>
      <c r="B64" s="96" t="s">
        <v>540</v>
      </c>
      <c r="C64" s="44" t="s">
        <v>1254</v>
      </c>
      <c r="D64" s="44" t="s">
        <v>1254</v>
      </c>
      <c r="E64" s="44" t="s">
        <v>1820</v>
      </c>
      <c r="F64" s="44" t="s">
        <v>1981</v>
      </c>
      <c r="G64" s="44" t="s">
        <v>1172</v>
      </c>
      <c r="H64" s="44" t="s">
        <v>1172</v>
      </c>
      <c r="I64" s="44" t="s">
        <v>1857</v>
      </c>
      <c r="J64" s="44" t="s">
        <v>1982</v>
      </c>
      <c r="K64" s="44">
        <v>1</v>
      </c>
      <c r="L64" s="44">
        <v>3</v>
      </c>
      <c r="M64" s="44">
        <v>2</v>
      </c>
      <c r="N64" s="44">
        <v>5</v>
      </c>
      <c r="O64" s="44">
        <v>4</v>
      </c>
      <c r="P64" s="44">
        <v>7</v>
      </c>
      <c r="Q64" s="44">
        <v>6</v>
      </c>
      <c r="R64" s="44" t="s">
        <v>1320</v>
      </c>
      <c r="S64" s="44" t="s">
        <v>1320</v>
      </c>
    </row>
    <row r="65" spans="1:19" ht="15.75" customHeight="1">
      <c r="A65" s="44" t="b">
        <v>1</v>
      </c>
      <c r="B65" s="96" t="s">
        <v>551</v>
      </c>
      <c r="C65" s="44" t="s">
        <v>1501</v>
      </c>
      <c r="D65" s="44" t="s">
        <v>1501</v>
      </c>
      <c r="E65" s="44" t="s">
        <v>1798</v>
      </c>
      <c r="F65" s="44" t="s">
        <v>1983</v>
      </c>
      <c r="G65" s="44" t="s">
        <v>1172</v>
      </c>
      <c r="H65" s="44" t="s">
        <v>1984</v>
      </c>
      <c r="I65" s="44" t="s">
        <v>1967</v>
      </c>
      <c r="J65" s="44" t="s">
        <v>1985</v>
      </c>
      <c r="K65" s="44">
        <v>7</v>
      </c>
      <c r="L65" s="44">
        <v>3</v>
      </c>
      <c r="M65" s="44">
        <v>6</v>
      </c>
      <c r="N65" s="44">
        <v>1</v>
      </c>
      <c r="O65" s="44">
        <v>5</v>
      </c>
      <c r="P65" s="44">
        <v>2</v>
      </c>
      <c r="Q65" s="44">
        <v>4</v>
      </c>
      <c r="R65" s="44" t="s">
        <v>1252</v>
      </c>
      <c r="S65" s="44" t="s">
        <v>1252</v>
      </c>
    </row>
    <row r="66" spans="1:19" ht="15.75" customHeight="1">
      <c r="A66" s="44" t="b">
        <v>1</v>
      </c>
      <c r="B66" s="96" t="s">
        <v>559</v>
      </c>
      <c r="C66" s="44" t="s">
        <v>1503</v>
      </c>
      <c r="D66" s="44" t="s">
        <v>1503</v>
      </c>
      <c r="E66" s="44" t="s">
        <v>1798</v>
      </c>
      <c r="F66" s="44" t="s">
        <v>1986</v>
      </c>
      <c r="G66" s="44" t="s">
        <v>1172</v>
      </c>
      <c r="H66" s="44" t="s">
        <v>1172</v>
      </c>
      <c r="I66" s="43"/>
      <c r="J66" s="43"/>
      <c r="K66" s="44">
        <v>7</v>
      </c>
      <c r="L66" s="44">
        <v>5</v>
      </c>
      <c r="M66" s="44">
        <v>1</v>
      </c>
      <c r="N66" s="44">
        <v>6</v>
      </c>
      <c r="O66" s="44">
        <v>3</v>
      </c>
      <c r="P66" s="44">
        <v>2</v>
      </c>
      <c r="Q66" s="44">
        <v>4</v>
      </c>
      <c r="R66" s="44" t="s">
        <v>1252</v>
      </c>
      <c r="S66" s="44" t="s">
        <v>1252</v>
      </c>
    </row>
    <row r="67" spans="1:19" ht="15.75" customHeight="1">
      <c r="A67" s="44" t="b">
        <v>1</v>
      </c>
      <c r="B67" s="96" t="s">
        <v>562</v>
      </c>
      <c r="C67" s="44" t="s">
        <v>1505</v>
      </c>
      <c r="D67" s="44" t="s">
        <v>1505</v>
      </c>
      <c r="E67" s="44" t="s">
        <v>1798</v>
      </c>
      <c r="F67" s="44" t="s">
        <v>1987</v>
      </c>
      <c r="G67" s="44" t="s">
        <v>1172</v>
      </c>
      <c r="H67" s="44" t="s">
        <v>1988</v>
      </c>
      <c r="I67" s="44" t="s">
        <v>1828</v>
      </c>
      <c r="J67" s="43"/>
      <c r="K67" s="44">
        <v>1</v>
      </c>
      <c r="L67" s="44">
        <v>2</v>
      </c>
      <c r="M67" s="44">
        <v>3</v>
      </c>
      <c r="N67" s="44">
        <v>4</v>
      </c>
      <c r="O67" s="44">
        <v>7</v>
      </c>
      <c r="P67" s="44">
        <v>5</v>
      </c>
      <c r="Q67" s="44">
        <v>6</v>
      </c>
      <c r="R67" s="44" t="s">
        <v>1989</v>
      </c>
      <c r="S67" s="44" t="s">
        <v>1990</v>
      </c>
    </row>
    <row r="68" spans="1:19" ht="15.75" customHeight="1">
      <c r="A68" s="44" t="b">
        <v>1</v>
      </c>
      <c r="B68" s="96" t="s">
        <v>566</v>
      </c>
      <c r="C68" s="44" t="s">
        <v>1507</v>
      </c>
      <c r="D68" s="44" t="s">
        <v>1991</v>
      </c>
      <c r="E68" s="44" t="s">
        <v>1820</v>
      </c>
      <c r="F68" s="44" t="s">
        <v>1992</v>
      </c>
      <c r="G68" s="44" t="s">
        <v>1172</v>
      </c>
      <c r="H68" s="44" t="s">
        <v>1172</v>
      </c>
      <c r="I68" s="44" t="s">
        <v>1804</v>
      </c>
      <c r="J68" s="43"/>
      <c r="K68" s="44">
        <v>1</v>
      </c>
      <c r="L68" s="44">
        <v>3</v>
      </c>
      <c r="M68" s="44">
        <v>2</v>
      </c>
      <c r="N68" s="44">
        <v>4</v>
      </c>
      <c r="O68" s="44">
        <v>5</v>
      </c>
      <c r="P68" s="44">
        <v>7</v>
      </c>
      <c r="Q68" s="44">
        <v>6</v>
      </c>
      <c r="R68" s="43"/>
      <c r="S68" s="44" t="s">
        <v>1993</v>
      </c>
    </row>
    <row r="69" spans="1:19" ht="15.75" customHeight="1">
      <c r="A69" s="44" t="b">
        <v>1</v>
      </c>
      <c r="B69" s="96" t="s">
        <v>572</v>
      </c>
      <c r="C69" s="44" t="s">
        <v>1257</v>
      </c>
      <c r="D69" s="44" t="s">
        <v>1257</v>
      </c>
      <c r="E69" s="44" t="s">
        <v>1820</v>
      </c>
      <c r="F69" s="44" t="s">
        <v>1940</v>
      </c>
      <c r="G69" s="44" t="s">
        <v>1172</v>
      </c>
      <c r="H69" s="44" t="s">
        <v>1172</v>
      </c>
      <c r="I69" s="44" t="s">
        <v>1804</v>
      </c>
      <c r="J69" s="43"/>
      <c r="K69" s="44">
        <v>4</v>
      </c>
      <c r="L69" s="44">
        <v>5</v>
      </c>
      <c r="M69" s="44">
        <v>2</v>
      </c>
      <c r="N69" s="44">
        <v>6</v>
      </c>
      <c r="O69" s="44">
        <v>3</v>
      </c>
      <c r="P69" s="44">
        <v>7</v>
      </c>
      <c r="Q69" s="44">
        <v>1</v>
      </c>
      <c r="R69" s="44" t="s">
        <v>1937</v>
      </c>
      <c r="S69" s="44" t="s">
        <v>1937</v>
      </c>
    </row>
    <row r="70" spans="1:19" ht="15.75" customHeight="1">
      <c r="A70" s="44" t="b">
        <v>1</v>
      </c>
      <c r="B70" s="96" t="s">
        <v>577</v>
      </c>
      <c r="C70" s="44" t="s">
        <v>1511</v>
      </c>
      <c r="D70" s="44" t="s">
        <v>1511</v>
      </c>
      <c r="E70" s="44" t="s">
        <v>1798</v>
      </c>
      <c r="F70" s="44" t="s">
        <v>1994</v>
      </c>
      <c r="G70" s="44" t="s">
        <v>1172</v>
      </c>
      <c r="H70" s="44" t="s">
        <v>1172</v>
      </c>
      <c r="I70" s="44" t="s">
        <v>1800</v>
      </c>
      <c r="J70" s="44" t="s">
        <v>1995</v>
      </c>
      <c r="K70" s="44">
        <v>5</v>
      </c>
      <c r="L70" s="44">
        <v>3</v>
      </c>
      <c r="M70" s="44">
        <v>6</v>
      </c>
      <c r="N70" s="44">
        <v>2</v>
      </c>
      <c r="O70" s="44">
        <v>1</v>
      </c>
      <c r="P70" s="44">
        <v>7</v>
      </c>
      <c r="Q70" s="44">
        <v>4</v>
      </c>
      <c r="R70" s="44" t="s">
        <v>1252</v>
      </c>
      <c r="S70" s="44" t="s">
        <v>1252</v>
      </c>
    </row>
    <row r="71" spans="1:19" ht="15.75" customHeight="1">
      <c r="A71" s="44" t="b">
        <v>1</v>
      </c>
      <c r="B71" s="96" t="s">
        <v>585</v>
      </c>
      <c r="C71" s="44" t="s">
        <v>1512</v>
      </c>
      <c r="D71" s="44" t="s">
        <v>1996</v>
      </c>
      <c r="E71" s="44" t="s">
        <v>1798</v>
      </c>
      <c r="F71" s="44" t="s">
        <v>1997</v>
      </c>
      <c r="G71" s="44" t="s">
        <v>1856</v>
      </c>
      <c r="H71" s="44" t="s">
        <v>1172</v>
      </c>
      <c r="I71" s="44" t="s">
        <v>1828</v>
      </c>
      <c r="J71" s="43"/>
      <c r="K71" s="44">
        <v>2</v>
      </c>
      <c r="L71" s="44">
        <v>4</v>
      </c>
      <c r="M71" s="44">
        <v>3</v>
      </c>
      <c r="N71" s="44">
        <v>5</v>
      </c>
      <c r="O71" s="44">
        <v>6</v>
      </c>
      <c r="P71" s="44">
        <v>1</v>
      </c>
      <c r="Q71" s="44">
        <v>7</v>
      </c>
      <c r="R71" s="44" t="s">
        <v>1795</v>
      </c>
      <c r="S71" s="44" t="s">
        <v>1998</v>
      </c>
    </row>
    <row r="72" spans="1:19" ht="15.75" customHeight="1">
      <c r="A72" s="44" t="b">
        <v>1</v>
      </c>
      <c r="B72" s="96" t="s">
        <v>590</v>
      </c>
      <c r="C72" s="44" t="s">
        <v>1514</v>
      </c>
      <c r="D72" s="44" t="s">
        <v>1514</v>
      </c>
      <c r="E72" s="44" t="s">
        <v>1834</v>
      </c>
      <c r="F72" s="44" t="s">
        <v>1999</v>
      </c>
      <c r="G72" s="44" t="s">
        <v>2000</v>
      </c>
      <c r="H72" s="44" t="s">
        <v>2000</v>
      </c>
      <c r="I72" s="44" t="s">
        <v>1804</v>
      </c>
      <c r="J72" s="43"/>
      <c r="K72" s="44">
        <v>1</v>
      </c>
      <c r="L72" s="44">
        <v>3</v>
      </c>
      <c r="M72" s="44">
        <v>7</v>
      </c>
      <c r="N72" s="44">
        <v>2</v>
      </c>
      <c r="O72" s="44">
        <v>5</v>
      </c>
      <c r="P72" s="44">
        <v>6</v>
      </c>
      <c r="Q72" s="44">
        <v>4</v>
      </c>
      <c r="R72" s="44" t="s">
        <v>1911</v>
      </c>
      <c r="S72" s="44" t="s">
        <v>1911</v>
      </c>
    </row>
    <row r="73" spans="1:19" ht="15.75" customHeight="1">
      <c r="A73" s="44" t="b">
        <v>1</v>
      </c>
      <c r="B73" s="96" t="s">
        <v>594</v>
      </c>
      <c r="C73" s="44" t="s">
        <v>1516</v>
      </c>
      <c r="D73" s="44" t="s">
        <v>1516</v>
      </c>
      <c r="E73" s="44" t="s">
        <v>1798</v>
      </c>
      <c r="F73" s="44" t="s">
        <v>2001</v>
      </c>
      <c r="G73" s="44" t="s">
        <v>1172</v>
      </c>
      <c r="H73" s="44" t="s">
        <v>1172</v>
      </c>
      <c r="I73" s="44" t="s">
        <v>1828</v>
      </c>
      <c r="J73" s="43"/>
      <c r="K73" s="44">
        <v>2</v>
      </c>
      <c r="L73" s="44">
        <v>5</v>
      </c>
      <c r="M73" s="44">
        <v>3</v>
      </c>
      <c r="N73" s="44">
        <v>4</v>
      </c>
      <c r="O73" s="44">
        <v>1</v>
      </c>
      <c r="P73" s="44">
        <v>7</v>
      </c>
      <c r="Q73" s="44">
        <v>6</v>
      </c>
      <c r="R73" s="44" t="s">
        <v>1252</v>
      </c>
      <c r="S73" s="44" t="s">
        <v>2002</v>
      </c>
    </row>
    <row r="74" spans="1:19" ht="15.75" customHeight="1">
      <c r="A74" s="44" t="b">
        <v>1</v>
      </c>
      <c r="B74" s="96" t="s">
        <v>597</v>
      </c>
      <c r="C74" s="44" t="s">
        <v>1518</v>
      </c>
      <c r="D74" s="44" t="s">
        <v>1518</v>
      </c>
      <c r="E74" s="44" t="s">
        <v>1820</v>
      </c>
      <c r="F74" s="44" t="s">
        <v>2003</v>
      </c>
      <c r="G74" s="44" t="s">
        <v>1844</v>
      </c>
      <c r="H74" s="44" t="s">
        <v>1844</v>
      </c>
      <c r="I74" s="44" t="s">
        <v>1804</v>
      </c>
      <c r="J74" s="43"/>
      <c r="K74" s="44">
        <v>4</v>
      </c>
      <c r="L74" s="44">
        <v>1</v>
      </c>
      <c r="M74" s="44">
        <v>2</v>
      </c>
      <c r="N74" s="44">
        <v>7</v>
      </c>
      <c r="O74" s="44">
        <v>6</v>
      </c>
      <c r="P74" s="44">
        <v>5</v>
      </c>
      <c r="Q74" s="44">
        <v>3</v>
      </c>
      <c r="R74" s="44" t="s">
        <v>2004</v>
      </c>
      <c r="S74" s="44" t="s">
        <v>2005</v>
      </c>
    </row>
    <row r="75" spans="1:19" ht="15.75" customHeight="1">
      <c r="A75" s="44" t="b">
        <v>1</v>
      </c>
      <c r="B75" s="96" t="s">
        <v>600</v>
      </c>
      <c r="C75" s="44" t="s">
        <v>1521</v>
      </c>
      <c r="D75" s="44" t="s">
        <v>2006</v>
      </c>
      <c r="E75" s="44" t="s">
        <v>2007</v>
      </c>
      <c r="F75" s="44" t="s">
        <v>2008</v>
      </c>
      <c r="G75" s="44" t="s">
        <v>1172</v>
      </c>
      <c r="H75" s="44" t="s">
        <v>1172</v>
      </c>
      <c r="I75" s="44" t="s">
        <v>1828</v>
      </c>
      <c r="J75" s="43"/>
      <c r="K75" s="44">
        <v>1</v>
      </c>
      <c r="L75" s="44">
        <v>6</v>
      </c>
      <c r="M75" s="44">
        <v>5</v>
      </c>
      <c r="N75" s="44">
        <v>4</v>
      </c>
      <c r="O75" s="44">
        <v>3</v>
      </c>
      <c r="P75" s="44">
        <v>7</v>
      </c>
      <c r="Q75" s="44">
        <v>2</v>
      </c>
      <c r="R75" s="44" t="s">
        <v>2009</v>
      </c>
      <c r="S75" s="44" t="s">
        <v>1172</v>
      </c>
    </row>
    <row r="76" spans="1:19" ht="15.75" customHeight="1">
      <c r="A76" s="44" t="b">
        <v>1</v>
      </c>
      <c r="B76" s="96" t="s">
        <v>602</v>
      </c>
      <c r="C76" s="96" t="s">
        <v>1526</v>
      </c>
      <c r="D76" s="44" t="s">
        <v>2010</v>
      </c>
      <c r="E76" s="44" t="s">
        <v>1798</v>
      </c>
      <c r="F76" s="44" t="s">
        <v>2011</v>
      </c>
      <c r="G76" s="44" t="s">
        <v>1252</v>
      </c>
      <c r="H76" s="44" t="s">
        <v>1252</v>
      </c>
      <c r="I76" s="44" t="s">
        <v>2012</v>
      </c>
      <c r="J76" s="43"/>
      <c r="K76" s="44">
        <v>1</v>
      </c>
      <c r="L76" s="44">
        <v>3</v>
      </c>
      <c r="M76" s="44">
        <v>2</v>
      </c>
      <c r="N76" s="44">
        <v>6</v>
      </c>
      <c r="O76" s="44">
        <v>5</v>
      </c>
      <c r="P76" s="44">
        <v>4</v>
      </c>
      <c r="Q76" s="44">
        <v>7</v>
      </c>
      <c r="R76" s="44" t="s">
        <v>2013</v>
      </c>
      <c r="S76" s="44" t="s">
        <v>1252</v>
      </c>
    </row>
    <row r="77" spans="1:19" ht="15.75" customHeight="1">
      <c r="A77" s="44" t="b">
        <v>1</v>
      </c>
      <c r="B77" s="44" t="s">
        <v>1532</v>
      </c>
      <c r="C77" s="59" t="s">
        <v>1532</v>
      </c>
      <c r="D77" s="44" t="s">
        <v>1532</v>
      </c>
      <c r="E77" s="44" t="s">
        <v>1798</v>
      </c>
      <c r="F77" s="44" t="s">
        <v>2014</v>
      </c>
      <c r="G77" s="44" t="s">
        <v>2015</v>
      </c>
      <c r="H77" s="44" t="s">
        <v>1172</v>
      </c>
      <c r="I77" s="44"/>
      <c r="J77" s="44"/>
      <c r="K77" s="44">
        <v>3</v>
      </c>
      <c r="L77" s="44">
        <v>2</v>
      </c>
      <c r="M77" s="44">
        <v>1</v>
      </c>
      <c r="N77" s="44">
        <v>6</v>
      </c>
      <c r="O77" s="44">
        <v>4</v>
      </c>
      <c r="P77" s="44">
        <v>5</v>
      </c>
      <c r="Q77" s="44">
        <v>7</v>
      </c>
      <c r="R77" s="44" t="s">
        <v>1172</v>
      </c>
      <c r="S77" s="44" t="s">
        <v>1172</v>
      </c>
    </row>
    <row r="78" spans="1:19" ht="15.75" customHeight="1">
      <c r="A78" s="44" t="b">
        <v>1</v>
      </c>
      <c r="B78" s="96" t="s">
        <v>610</v>
      </c>
      <c r="C78" s="43" t="s">
        <v>1538</v>
      </c>
      <c r="D78" s="44" t="s">
        <v>2016</v>
      </c>
      <c r="E78" s="44" t="s">
        <v>1798</v>
      </c>
      <c r="F78" s="44" t="s">
        <v>2017</v>
      </c>
      <c r="G78" s="44" t="s">
        <v>1172</v>
      </c>
      <c r="H78" s="44" t="s">
        <v>1172</v>
      </c>
      <c r="I78" s="44" t="s">
        <v>1814</v>
      </c>
      <c r="J78" s="44"/>
      <c r="K78" s="44">
        <v>1</v>
      </c>
      <c r="L78" s="44">
        <v>3</v>
      </c>
      <c r="M78" s="44">
        <v>2</v>
      </c>
      <c r="N78" s="44">
        <v>5</v>
      </c>
      <c r="O78" s="44">
        <v>6</v>
      </c>
      <c r="P78" s="44">
        <v>4</v>
      </c>
      <c r="Q78" s="44">
        <v>7</v>
      </c>
      <c r="R78" s="44" t="s">
        <v>1172</v>
      </c>
      <c r="S78" s="44" t="s">
        <v>1172</v>
      </c>
    </row>
    <row r="79" spans="1:19" ht="15.75" customHeight="1">
      <c r="A79" s="44" t="b">
        <v>1</v>
      </c>
      <c r="B79" s="96" t="s">
        <v>614</v>
      </c>
      <c r="C79" s="43" t="s">
        <v>1541</v>
      </c>
      <c r="D79" s="44" t="s">
        <v>1542</v>
      </c>
      <c r="E79" s="44" t="s">
        <v>1798</v>
      </c>
      <c r="F79" s="44" t="s">
        <v>2018</v>
      </c>
      <c r="G79" s="44" t="s">
        <v>1172</v>
      </c>
      <c r="H79" s="44" t="s">
        <v>2019</v>
      </c>
      <c r="I79" s="44" t="s">
        <v>1828</v>
      </c>
      <c r="J79" s="44"/>
      <c r="K79" s="44">
        <v>4</v>
      </c>
      <c r="L79" s="44">
        <v>1</v>
      </c>
      <c r="M79" s="44">
        <v>7</v>
      </c>
      <c r="N79" s="44">
        <v>5</v>
      </c>
      <c r="O79" s="44">
        <v>2</v>
      </c>
      <c r="P79" s="44">
        <v>6</v>
      </c>
      <c r="Q79" s="44">
        <v>3</v>
      </c>
      <c r="R79" s="44" t="s">
        <v>1172</v>
      </c>
      <c r="S79" s="44" t="s">
        <v>2020</v>
      </c>
    </row>
    <row r="80" spans="1:19" ht="15.75" customHeight="1">
      <c r="A80" s="44" t="b">
        <v>1</v>
      </c>
      <c r="B80" s="96" t="s">
        <v>618</v>
      </c>
      <c r="C80" s="43" t="s">
        <v>1258</v>
      </c>
      <c r="D80" s="44" t="s">
        <v>2021</v>
      </c>
      <c r="E80" s="44" t="s">
        <v>1798</v>
      </c>
      <c r="F80" s="44" t="s">
        <v>2022</v>
      </c>
      <c r="G80" s="44" t="s">
        <v>1172</v>
      </c>
      <c r="H80" s="44" t="s">
        <v>1172</v>
      </c>
      <c r="I80" s="44" t="s">
        <v>1800</v>
      </c>
      <c r="J80" s="44" t="s">
        <v>2023</v>
      </c>
      <c r="K80" s="44">
        <v>6</v>
      </c>
      <c r="L80" s="44">
        <v>3</v>
      </c>
      <c r="M80" s="44">
        <v>1</v>
      </c>
      <c r="N80" s="44">
        <v>4</v>
      </c>
      <c r="O80" s="44">
        <v>5</v>
      </c>
      <c r="P80" s="44">
        <v>2</v>
      </c>
      <c r="Q80" s="44">
        <v>7</v>
      </c>
      <c r="R80" s="44" t="s">
        <v>2024</v>
      </c>
      <c r="S80" s="44" t="s">
        <v>2025</v>
      </c>
    </row>
    <row r="81" spans="1:19" ht="15.75" customHeight="1">
      <c r="A81" s="44" t="b">
        <v>1</v>
      </c>
      <c r="B81" s="96" t="s">
        <v>622</v>
      </c>
      <c r="C81" s="43" t="s">
        <v>1263</v>
      </c>
      <c r="D81" s="44" t="s">
        <v>1263</v>
      </c>
      <c r="E81" s="44" t="s">
        <v>1820</v>
      </c>
      <c r="F81" s="44" t="s">
        <v>2026</v>
      </c>
      <c r="G81" s="44" t="s">
        <v>2027</v>
      </c>
      <c r="H81" s="44" t="s">
        <v>2028</v>
      </c>
      <c r="I81" s="44" t="s">
        <v>1882</v>
      </c>
      <c r="J81" s="44"/>
      <c r="K81" s="44">
        <v>2</v>
      </c>
      <c r="L81" s="44">
        <v>3</v>
      </c>
      <c r="M81" s="44">
        <v>1</v>
      </c>
      <c r="N81" s="44">
        <v>5</v>
      </c>
      <c r="O81" s="44">
        <v>6</v>
      </c>
      <c r="P81" s="44">
        <v>4</v>
      </c>
      <c r="Q81" s="44">
        <v>7</v>
      </c>
      <c r="R81" s="44" t="s">
        <v>2029</v>
      </c>
      <c r="S81" s="44" t="s">
        <v>2030</v>
      </c>
    </row>
    <row r="82" spans="1:19" ht="15.75" customHeight="1">
      <c r="A82" s="44" t="b">
        <v>1</v>
      </c>
      <c r="B82" s="96" t="s">
        <v>630</v>
      </c>
      <c r="C82" s="43" t="s">
        <v>1544</v>
      </c>
      <c r="D82" s="44" t="s">
        <v>1544</v>
      </c>
      <c r="E82" s="44" t="s">
        <v>1798</v>
      </c>
      <c r="F82" s="44" t="s">
        <v>2031</v>
      </c>
      <c r="G82" s="44" t="s">
        <v>1172</v>
      </c>
      <c r="H82" s="44" t="s">
        <v>1172</v>
      </c>
      <c r="I82" s="44" t="s">
        <v>1814</v>
      </c>
      <c r="J82" s="44"/>
      <c r="K82" s="44">
        <v>7</v>
      </c>
      <c r="L82" s="44">
        <v>2</v>
      </c>
      <c r="M82" s="44">
        <v>3</v>
      </c>
      <c r="N82" s="44">
        <v>6</v>
      </c>
      <c r="O82" s="44">
        <v>4</v>
      </c>
      <c r="P82" s="44">
        <v>1</v>
      </c>
      <c r="Q82" s="44">
        <v>5</v>
      </c>
      <c r="R82" s="44" t="s">
        <v>2032</v>
      </c>
      <c r="S82" s="44" t="s">
        <v>2033</v>
      </c>
    </row>
    <row r="83" spans="1:19" ht="15.75" customHeight="1">
      <c r="A83" s="44" t="b">
        <v>1</v>
      </c>
      <c r="B83" s="96" t="s">
        <v>635</v>
      </c>
      <c r="C83" s="43" t="s">
        <v>1545</v>
      </c>
      <c r="D83" s="44" t="s">
        <v>1546</v>
      </c>
      <c r="E83" s="44" t="s">
        <v>1798</v>
      </c>
      <c r="F83" s="44" t="s">
        <v>2034</v>
      </c>
      <c r="G83" s="44" t="s">
        <v>2035</v>
      </c>
      <c r="H83" s="44" t="s">
        <v>2036</v>
      </c>
      <c r="I83" s="44" t="s">
        <v>1800</v>
      </c>
      <c r="J83" s="44" t="s">
        <v>2037</v>
      </c>
      <c r="K83" s="44">
        <v>2</v>
      </c>
      <c r="L83" s="44">
        <v>1</v>
      </c>
      <c r="M83" s="44">
        <v>3</v>
      </c>
      <c r="N83" s="44">
        <v>4</v>
      </c>
      <c r="O83" s="44">
        <v>5</v>
      </c>
      <c r="P83" s="44">
        <v>6</v>
      </c>
      <c r="Q83" s="44">
        <v>7</v>
      </c>
      <c r="R83" s="44" t="s">
        <v>2038</v>
      </c>
      <c r="S83" s="44" t="s">
        <v>2039</v>
      </c>
    </row>
    <row r="84" spans="1:19" ht="15.75" customHeight="1">
      <c r="A84" s="44" t="b">
        <v>1</v>
      </c>
      <c r="B84" s="96" t="s">
        <v>638</v>
      </c>
      <c r="C84" s="43" t="s">
        <v>1547</v>
      </c>
      <c r="D84" s="44" t="s">
        <v>1547</v>
      </c>
      <c r="E84" s="44" t="s">
        <v>1798</v>
      </c>
      <c r="F84" s="44" t="s">
        <v>2040</v>
      </c>
      <c r="G84" s="44" t="s">
        <v>1172</v>
      </c>
      <c r="H84" s="44" t="s">
        <v>1172</v>
      </c>
      <c r="I84" s="44" t="s">
        <v>1828</v>
      </c>
      <c r="J84" s="44"/>
      <c r="K84" s="44">
        <v>2</v>
      </c>
      <c r="L84" s="44">
        <v>1</v>
      </c>
      <c r="M84" s="44">
        <v>3</v>
      </c>
      <c r="N84" s="44">
        <v>5</v>
      </c>
      <c r="O84" s="44">
        <v>4</v>
      </c>
      <c r="P84" s="44">
        <v>7</v>
      </c>
      <c r="Q84" s="44">
        <v>6</v>
      </c>
      <c r="R84" s="44" t="s">
        <v>1172</v>
      </c>
      <c r="S84" s="44" t="s">
        <v>1172</v>
      </c>
    </row>
    <row r="85" spans="1:19" ht="15.75" customHeight="1">
      <c r="A85" s="44" t="b">
        <v>1</v>
      </c>
      <c r="B85" s="96" t="s">
        <v>644</v>
      </c>
      <c r="C85" s="43" t="s">
        <v>1548</v>
      </c>
      <c r="D85" s="44" t="s">
        <v>1549</v>
      </c>
      <c r="E85" s="44" t="s">
        <v>1798</v>
      </c>
      <c r="F85" s="44" t="s">
        <v>2041</v>
      </c>
      <c r="G85" s="44" t="s">
        <v>2042</v>
      </c>
      <c r="H85" s="44" t="s">
        <v>2042</v>
      </c>
      <c r="I85" s="44" t="s">
        <v>1828</v>
      </c>
      <c r="J85" s="44"/>
      <c r="K85" s="44">
        <v>4</v>
      </c>
      <c r="L85" s="44">
        <v>1</v>
      </c>
      <c r="M85" s="44">
        <v>3</v>
      </c>
      <c r="N85" s="44">
        <v>6</v>
      </c>
      <c r="O85" s="44">
        <v>7</v>
      </c>
      <c r="P85" s="44">
        <v>2</v>
      </c>
      <c r="Q85" s="44">
        <v>5</v>
      </c>
      <c r="R85" s="44" t="s">
        <v>2043</v>
      </c>
      <c r="S85" s="44" t="s">
        <v>1907</v>
      </c>
    </row>
    <row r="86" spans="1:19" ht="15.75" customHeight="1">
      <c r="A86" s="44" t="b">
        <v>1</v>
      </c>
      <c r="B86" s="96" t="s">
        <v>653</v>
      </c>
      <c r="C86" s="43" t="s">
        <v>1550</v>
      </c>
      <c r="D86" s="44" t="s">
        <v>1551</v>
      </c>
      <c r="E86" s="44" t="s">
        <v>1820</v>
      </c>
      <c r="F86" s="44" t="s">
        <v>2044</v>
      </c>
      <c r="G86" s="44" t="s">
        <v>1172</v>
      </c>
      <c r="H86" s="44" t="s">
        <v>1172</v>
      </c>
      <c r="I86" s="44" t="s">
        <v>1828</v>
      </c>
      <c r="J86" s="44"/>
      <c r="K86" s="44">
        <v>2</v>
      </c>
      <c r="L86" s="44">
        <v>1</v>
      </c>
      <c r="M86" s="44">
        <v>5</v>
      </c>
      <c r="N86" s="44">
        <v>4</v>
      </c>
      <c r="O86" s="44">
        <v>3</v>
      </c>
      <c r="P86" s="44">
        <v>7</v>
      </c>
      <c r="Q86" s="44">
        <v>6</v>
      </c>
      <c r="R86" s="44" t="s">
        <v>1172</v>
      </c>
      <c r="S86" s="44" t="s">
        <v>1172</v>
      </c>
    </row>
    <row r="87" spans="1:19" ht="15.75" customHeight="1">
      <c r="A87" s="44" t="b">
        <v>1</v>
      </c>
      <c r="B87" s="96" t="s">
        <v>658</v>
      </c>
      <c r="C87" s="43" t="s">
        <v>1553</v>
      </c>
      <c r="D87" s="44" t="s">
        <v>2045</v>
      </c>
      <c r="E87" s="44" t="s">
        <v>1798</v>
      </c>
      <c r="F87" s="44" t="s">
        <v>2046</v>
      </c>
      <c r="G87" s="44" t="s">
        <v>1172</v>
      </c>
      <c r="H87" s="44" t="s">
        <v>1172</v>
      </c>
      <c r="I87" s="44" t="s">
        <v>1800</v>
      </c>
      <c r="J87" s="44" t="s">
        <v>2046</v>
      </c>
      <c r="K87" s="44">
        <v>5</v>
      </c>
      <c r="L87" s="44">
        <v>6</v>
      </c>
      <c r="M87" s="44">
        <v>1</v>
      </c>
      <c r="N87" s="44">
        <v>2</v>
      </c>
      <c r="O87" s="44">
        <v>3</v>
      </c>
      <c r="P87" s="44">
        <v>7</v>
      </c>
      <c r="Q87" s="44">
        <v>4</v>
      </c>
      <c r="R87" s="44" t="s">
        <v>2047</v>
      </c>
      <c r="S87" s="44" t="s">
        <v>2048</v>
      </c>
    </row>
    <row r="88" spans="1:19" ht="15.75" customHeight="1">
      <c r="A88" s="44" t="b">
        <v>1</v>
      </c>
      <c r="B88" s="96" t="s">
        <v>664</v>
      </c>
      <c r="C88" s="43" t="s">
        <v>1557</v>
      </c>
      <c r="D88" s="44" t="s">
        <v>1557</v>
      </c>
      <c r="E88" s="44" t="s">
        <v>1798</v>
      </c>
      <c r="F88" s="44" t="s">
        <v>2049</v>
      </c>
      <c r="G88" s="44" t="s">
        <v>1172</v>
      </c>
      <c r="H88" s="44" t="s">
        <v>1172</v>
      </c>
      <c r="I88" s="44" t="s">
        <v>1828</v>
      </c>
      <c r="J88" s="44"/>
      <c r="K88" s="44">
        <v>1</v>
      </c>
      <c r="L88" s="44">
        <v>2</v>
      </c>
      <c r="M88" s="44">
        <v>3</v>
      </c>
      <c r="N88" s="44">
        <v>5</v>
      </c>
      <c r="O88" s="44">
        <v>4</v>
      </c>
      <c r="P88" s="44">
        <v>7</v>
      </c>
      <c r="Q88" s="44">
        <v>6</v>
      </c>
      <c r="R88" s="44" t="s">
        <v>1172</v>
      </c>
      <c r="S88" s="44" t="s">
        <v>1172</v>
      </c>
    </row>
    <row r="89" spans="1:19" ht="15.75" customHeight="1">
      <c r="A89" s="44" t="b">
        <v>1</v>
      </c>
      <c r="B89" s="96" t="s">
        <v>669</v>
      </c>
      <c r="C89" s="43" t="s">
        <v>1558</v>
      </c>
      <c r="D89" s="44" t="s">
        <v>1559</v>
      </c>
      <c r="E89" s="44" t="s">
        <v>1798</v>
      </c>
      <c r="F89" s="44" t="s">
        <v>2050</v>
      </c>
      <c r="G89" s="44" t="s">
        <v>1172</v>
      </c>
      <c r="H89" s="44" t="s">
        <v>1172</v>
      </c>
      <c r="I89" s="44" t="s">
        <v>1800</v>
      </c>
      <c r="J89" s="44" t="s">
        <v>2051</v>
      </c>
      <c r="K89" s="44">
        <v>1</v>
      </c>
      <c r="L89" s="44">
        <v>4</v>
      </c>
      <c r="M89" s="44">
        <v>6</v>
      </c>
      <c r="N89" s="44">
        <v>3</v>
      </c>
      <c r="O89" s="44">
        <v>5</v>
      </c>
      <c r="P89" s="44">
        <v>2</v>
      </c>
      <c r="Q89" s="44">
        <v>7</v>
      </c>
      <c r="R89" s="44" t="s">
        <v>1840</v>
      </c>
      <c r="S89" s="44" t="s">
        <v>2052</v>
      </c>
    </row>
    <row r="90" spans="1:19" ht="15.75" customHeight="1">
      <c r="A90" s="44" t="b">
        <v>1</v>
      </c>
      <c r="B90" s="96" t="s">
        <v>675</v>
      </c>
      <c r="C90" s="43" t="s">
        <v>1267</v>
      </c>
      <c r="D90" s="44" t="s">
        <v>1267</v>
      </c>
      <c r="E90" s="44" t="s">
        <v>1798</v>
      </c>
      <c r="F90" s="44" t="s">
        <v>2053</v>
      </c>
      <c r="G90" s="44" t="s">
        <v>1172</v>
      </c>
      <c r="H90" s="44" t="s">
        <v>1172</v>
      </c>
      <c r="I90" s="44" t="s">
        <v>1828</v>
      </c>
      <c r="J90" s="44"/>
      <c r="K90" s="44">
        <v>2</v>
      </c>
      <c r="L90" s="44">
        <v>1</v>
      </c>
      <c r="M90" s="44">
        <v>5</v>
      </c>
      <c r="N90" s="44">
        <v>6</v>
      </c>
      <c r="O90" s="44">
        <v>7</v>
      </c>
      <c r="P90" s="44">
        <v>3</v>
      </c>
      <c r="Q90" s="44">
        <v>4</v>
      </c>
      <c r="R90" s="44" t="s">
        <v>2054</v>
      </c>
      <c r="S90" s="44" t="s">
        <v>2055</v>
      </c>
    </row>
    <row r="91" spans="1:19" ht="15.75" customHeight="1">
      <c r="A91" s="44" t="b">
        <v>1</v>
      </c>
      <c r="B91" s="96" t="s">
        <v>680</v>
      </c>
      <c r="C91" s="43" t="s">
        <v>1271</v>
      </c>
      <c r="D91" s="44" t="s">
        <v>2056</v>
      </c>
      <c r="E91" s="44" t="s">
        <v>1820</v>
      </c>
      <c r="F91" s="44" t="s">
        <v>2057</v>
      </c>
      <c r="G91" s="44" t="s">
        <v>1252</v>
      </c>
      <c r="H91" s="44" t="s">
        <v>1252</v>
      </c>
      <c r="I91" s="44" t="s">
        <v>1828</v>
      </c>
      <c r="J91" s="44"/>
      <c r="K91" s="44">
        <v>5</v>
      </c>
      <c r="L91" s="44">
        <v>6</v>
      </c>
      <c r="M91" s="44">
        <v>2</v>
      </c>
      <c r="N91" s="44">
        <v>1</v>
      </c>
      <c r="O91" s="44">
        <v>3</v>
      </c>
      <c r="P91" s="44">
        <v>4</v>
      </c>
      <c r="Q91" s="44">
        <v>7</v>
      </c>
      <c r="R91" s="44" t="s">
        <v>2058</v>
      </c>
      <c r="S91" s="44" t="s">
        <v>2059</v>
      </c>
    </row>
    <row r="92" spans="1:19" ht="15.75" customHeight="1">
      <c r="A92" s="44" t="b">
        <v>1</v>
      </c>
      <c r="B92" s="96" t="s">
        <v>684</v>
      </c>
      <c r="C92" s="43" t="s">
        <v>1561</v>
      </c>
      <c r="D92" s="44" t="s">
        <v>1561</v>
      </c>
      <c r="E92" s="44" t="s">
        <v>1834</v>
      </c>
      <c r="F92" s="44" t="s">
        <v>1394</v>
      </c>
      <c r="G92" s="44" t="s">
        <v>1172</v>
      </c>
      <c r="H92" s="44" t="s">
        <v>1172</v>
      </c>
      <c r="I92" s="44" t="s">
        <v>1828</v>
      </c>
      <c r="J92" s="44"/>
      <c r="K92" s="44">
        <v>1</v>
      </c>
      <c r="L92" s="44">
        <v>7</v>
      </c>
      <c r="M92" s="44">
        <v>4</v>
      </c>
      <c r="N92" s="44">
        <v>6</v>
      </c>
      <c r="O92" s="44">
        <v>5</v>
      </c>
      <c r="P92" s="44">
        <v>2</v>
      </c>
      <c r="Q92" s="44">
        <v>3</v>
      </c>
      <c r="R92" s="44" t="s">
        <v>2060</v>
      </c>
      <c r="S92" s="44" t="s">
        <v>1172</v>
      </c>
    </row>
    <row r="93" spans="1:19" ht="15.75" customHeight="1">
      <c r="A93" s="44" t="b">
        <v>1</v>
      </c>
      <c r="B93" s="96" t="s">
        <v>690</v>
      </c>
      <c r="C93" s="43" t="s">
        <v>1563</v>
      </c>
      <c r="D93" s="44" t="s">
        <v>2061</v>
      </c>
      <c r="E93" s="44" t="s">
        <v>1834</v>
      </c>
      <c r="F93" s="44" t="s">
        <v>1840</v>
      </c>
      <c r="G93" s="44" t="s">
        <v>1840</v>
      </c>
      <c r="H93" s="44" t="s">
        <v>2062</v>
      </c>
      <c r="I93" s="44"/>
      <c r="J93" s="44"/>
      <c r="K93" s="44">
        <v>3</v>
      </c>
      <c r="L93" s="44">
        <v>5</v>
      </c>
      <c r="M93" s="44">
        <v>2</v>
      </c>
      <c r="N93" s="44">
        <v>7</v>
      </c>
      <c r="O93" s="44">
        <v>1</v>
      </c>
      <c r="P93" s="44">
        <v>4</v>
      </c>
      <c r="Q93" s="44">
        <v>6</v>
      </c>
      <c r="R93" s="44" t="s">
        <v>2063</v>
      </c>
      <c r="S93" s="44"/>
    </row>
    <row r="94" spans="1:19" ht="15.75" customHeight="1">
      <c r="A94" s="44" t="b">
        <v>1</v>
      </c>
      <c r="B94" s="96" t="s">
        <v>696</v>
      </c>
      <c r="C94" s="43" t="s">
        <v>1275</v>
      </c>
      <c r="D94" s="44" t="s">
        <v>1275</v>
      </c>
      <c r="E94" s="44" t="s">
        <v>1798</v>
      </c>
      <c r="F94" s="44" t="s">
        <v>2064</v>
      </c>
      <c r="G94" s="44" t="s">
        <v>1172</v>
      </c>
      <c r="H94" s="44" t="s">
        <v>1172</v>
      </c>
      <c r="I94" s="44" t="s">
        <v>1800</v>
      </c>
      <c r="J94" s="44" t="s">
        <v>1172</v>
      </c>
      <c r="K94" s="44">
        <v>6</v>
      </c>
      <c r="L94" s="44">
        <v>1</v>
      </c>
      <c r="M94" s="44">
        <v>2</v>
      </c>
      <c r="N94" s="44">
        <v>4</v>
      </c>
      <c r="O94" s="44">
        <v>5</v>
      </c>
      <c r="P94" s="44">
        <v>3</v>
      </c>
      <c r="Q94" s="44">
        <v>7</v>
      </c>
      <c r="R94" s="44" t="s">
        <v>1172</v>
      </c>
      <c r="S94" s="44" t="s">
        <v>2065</v>
      </c>
    </row>
    <row r="95" spans="1:19" ht="15.75" customHeight="1">
      <c r="A95" s="44" t="b">
        <v>1</v>
      </c>
      <c r="B95" s="96" t="s">
        <v>699</v>
      </c>
      <c r="C95" s="43" t="s">
        <v>1277</v>
      </c>
      <c r="D95" s="44" t="s">
        <v>1277</v>
      </c>
      <c r="E95" s="44" t="s">
        <v>1798</v>
      </c>
      <c r="F95" s="44" t="s">
        <v>2066</v>
      </c>
      <c r="G95" s="44" t="s">
        <v>1172</v>
      </c>
      <c r="H95" s="44" t="s">
        <v>1172</v>
      </c>
      <c r="I95" s="44" t="s">
        <v>1828</v>
      </c>
      <c r="J95" s="44"/>
      <c r="K95" s="44">
        <v>7</v>
      </c>
      <c r="L95" s="44">
        <v>2</v>
      </c>
      <c r="M95" s="44">
        <v>3</v>
      </c>
      <c r="N95" s="44">
        <v>4</v>
      </c>
      <c r="O95" s="44">
        <v>5</v>
      </c>
      <c r="P95" s="44">
        <v>1</v>
      </c>
      <c r="Q95" s="44">
        <v>6</v>
      </c>
      <c r="R95" s="44" t="s">
        <v>1172</v>
      </c>
      <c r="S95" s="44" t="s">
        <v>2067</v>
      </c>
    </row>
    <row r="96" spans="1:19" ht="15.75" customHeight="1">
      <c r="A96" s="44" t="b">
        <v>1</v>
      </c>
      <c r="B96" s="96" t="s">
        <v>701</v>
      </c>
      <c r="C96" s="43" t="s">
        <v>1565</v>
      </c>
      <c r="D96" s="44" t="s">
        <v>1566</v>
      </c>
      <c r="E96" s="44" t="s">
        <v>1798</v>
      </c>
      <c r="F96" s="44" t="s">
        <v>2068</v>
      </c>
      <c r="G96" s="44" t="s">
        <v>1172</v>
      </c>
      <c r="H96" s="44" t="s">
        <v>1172</v>
      </c>
      <c r="I96" s="44" t="s">
        <v>1800</v>
      </c>
      <c r="J96" s="44" t="s">
        <v>2069</v>
      </c>
      <c r="K96" s="44">
        <v>3</v>
      </c>
      <c r="L96" s="44">
        <v>2</v>
      </c>
      <c r="M96" s="44">
        <v>1</v>
      </c>
      <c r="N96" s="44">
        <v>7</v>
      </c>
      <c r="O96" s="44">
        <v>5</v>
      </c>
      <c r="P96" s="44">
        <v>6</v>
      </c>
      <c r="Q96" s="44">
        <v>4</v>
      </c>
      <c r="R96" s="44" t="s">
        <v>2070</v>
      </c>
      <c r="S96" s="44" t="s">
        <v>1172</v>
      </c>
    </row>
    <row r="97" spans="1:19" ht="15.75" customHeight="1">
      <c r="A97" s="44" t="b">
        <v>1</v>
      </c>
      <c r="B97" s="96" t="s">
        <v>706</v>
      </c>
      <c r="C97" s="43" t="s">
        <v>1567</v>
      </c>
      <c r="D97" s="44" t="s">
        <v>1567</v>
      </c>
      <c r="E97" s="44" t="s">
        <v>1798</v>
      </c>
      <c r="F97" s="44" t="s">
        <v>2071</v>
      </c>
      <c r="G97" s="44" t="s">
        <v>1172</v>
      </c>
      <c r="H97" s="44" t="s">
        <v>1172</v>
      </c>
      <c r="I97" s="44" t="s">
        <v>2012</v>
      </c>
      <c r="J97" s="44"/>
      <c r="K97" s="44">
        <v>1</v>
      </c>
      <c r="L97" s="44">
        <v>2</v>
      </c>
      <c r="M97" s="44">
        <v>5</v>
      </c>
      <c r="N97" s="44">
        <v>4</v>
      </c>
      <c r="O97" s="44">
        <v>6</v>
      </c>
      <c r="P97" s="44">
        <v>3</v>
      </c>
      <c r="Q97" s="44">
        <v>7</v>
      </c>
      <c r="R97" s="44" t="s">
        <v>1172</v>
      </c>
      <c r="S97" s="44" t="s">
        <v>2072</v>
      </c>
    </row>
    <row r="98" spans="1:19" ht="15.75" customHeight="1">
      <c r="A98" s="44" t="b">
        <v>1</v>
      </c>
      <c r="B98" s="96" t="s">
        <v>714</v>
      </c>
      <c r="C98" s="43" t="s">
        <v>1570</v>
      </c>
      <c r="D98" s="44" t="s">
        <v>1571</v>
      </c>
      <c r="E98" s="44" t="s">
        <v>1798</v>
      </c>
      <c r="F98" s="44" t="s">
        <v>2073</v>
      </c>
      <c r="G98" s="44" t="s">
        <v>578</v>
      </c>
      <c r="H98" s="44" t="s">
        <v>1172</v>
      </c>
      <c r="I98" s="44" t="s">
        <v>1804</v>
      </c>
      <c r="J98" s="44"/>
      <c r="K98" s="44">
        <v>6</v>
      </c>
      <c r="L98" s="44">
        <v>2</v>
      </c>
      <c r="M98" s="44">
        <v>4</v>
      </c>
      <c r="N98" s="44">
        <v>7</v>
      </c>
      <c r="O98" s="44">
        <v>5</v>
      </c>
      <c r="P98" s="44">
        <v>1</v>
      </c>
      <c r="Q98" s="44">
        <v>3</v>
      </c>
      <c r="R98" s="44" t="s">
        <v>2074</v>
      </c>
      <c r="S98" s="44" t="s">
        <v>2075</v>
      </c>
    </row>
    <row r="99" spans="1:19" ht="15.75" customHeight="1">
      <c r="A99" s="44" t="b">
        <v>1</v>
      </c>
      <c r="B99" s="96" t="s">
        <v>718</v>
      </c>
      <c r="C99" s="43" t="s">
        <v>1278</v>
      </c>
      <c r="D99" s="44" t="s">
        <v>1278</v>
      </c>
      <c r="E99" s="44" t="s">
        <v>1798</v>
      </c>
      <c r="F99" s="44" t="s">
        <v>2076</v>
      </c>
      <c r="G99" s="44" t="s">
        <v>1172</v>
      </c>
      <c r="H99" s="44" t="s">
        <v>2077</v>
      </c>
      <c r="I99" s="44" t="s">
        <v>1800</v>
      </c>
      <c r="J99" s="44" t="s">
        <v>2078</v>
      </c>
      <c r="K99" s="44">
        <v>3</v>
      </c>
      <c r="L99" s="44">
        <v>2</v>
      </c>
      <c r="M99" s="44">
        <v>5</v>
      </c>
      <c r="N99" s="44">
        <v>1</v>
      </c>
      <c r="O99" s="44">
        <v>4</v>
      </c>
      <c r="P99" s="44">
        <v>6</v>
      </c>
      <c r="Q99" s="44">
        <v>7</v>
      </c>
      <c r="R99" s="44" t="s">
        <v>2079</v>
      </c>
      <c r="S99" s="44" t="s">
        <v>2080</v>
      </c>
    </row>
    <row r="100" spans="1:19" ht="15.75" customHeight="1">
      <c r="A100" s="44" t="b">
        <v>1</v>
      </c>
      <c r="B100" s="96" t="s">
        <v>722</v>
      </c>
      <c r="C100" s="43" t="s">
        <v>1572</v>
      </c>
      <c r="D100" s="44" t="s">
        <v>1572</v>
      </c>
      <c r="E100" s="44" t="s">
        <v>1798</v>
      </c>
      <c r="F100" s="44" t="s">
        <v>2081</v>
      </c>
      <c r="G100" s="44" t="s">
        <v>1172</v>
      </c>
      <c r="H100" s="44" t="s">
        <v>1172</v>
      </c>
      <c r="I100" s="44" t="s">
        <v>1915</v>
      </c>
      <c r="J100" s="44"/>
      <c r="K100" s="44">
        <v>5</v>
      </c>
      <c r="L100" s="44">
        <v>3</v>
      </c>
      <c r="M100" s="44">
        <v>2</v>
      </c>
      <c r="N100" s="44">
        <v>1</v>
      </c>
      <c r="O100" s="44">
        <v>6</v>
      </c>
      <c r="P100" s="44">
        <v>7</v>
      </c>
      <c r="Q100" s="44">
        <v>4</v>
      </c>
      <c r="R100" s="44" t="s">
        <v>2082</v>
      </c>
      <c r="S100" s="44" t="s">
        <v>1252</v>
      </c>
    </row>
    <row r="101" spans="1:19" ht="15.75" customHeight="1">
      <c r="A101" s="44" t="b">
        <v>1</v>
      </c>
      <c r="B101" s="96" t="s">
        <v>727</v>
      </c>
      <c r="C101" s="43" t="s">
        <v>1574</v>
      </c>
      <c r="D101" s="44" t="s">
        <v>1575</v>
      </c>
      <c r="E101" s="44" t="s">
        <v>1798</v>
      </c>
      <c r="F101" s="44" t="s">
        <v>2083</v>
      </c>
      <c r="G101" s="44" t="s">
        <v>1172</v>
      </c>
      <c r="H101" s="44" t="s">
        <v>1172</v>
      </c>
      <c r="I101" s="44" t="s">
        <v>1857</v>
      </c>
      <c r="J101" s="44" t="s">
        <v>2084</v>
      </c>
      <c r="K101" s="44">
        <v>1</v>
      </c>
      <c r="L101" s="44">
        <v>7</v>
      </c>
      <c r="M101" s="44">
        <v>3</v>
      </c>
      <c r="N101" s="44">
        <v>4</v>
      </c>
      <c r="O101" s="44">
        <v>6</v>
      </c>
      <c r="P101" s="44">
        <v>2</v>
      </c>
      <c r="Q101" s="44">
        <v>5</v>
      </c>
      <c r="R101" s="44" t="s">
        <v>1172</v>
      </c>
      <c r="S101" s="44" t="s">
        <v>1172</v>
      </c>
    </row>
    <row r="102" spans="1:19" ht="15.75" customHeight="1">
      <c r="A102" s="44" t="b">
        <v>1</v>
      </c>
      <c r="B102" s="96" t="s">
        <v>730</v>
      </c>
      <c r="C102" s="43" t="s">
        <v>1279</v>
      </c>
      <c r="D102" s="44" t="s">
        <v>2085</v>
      </c>
      <c r="E102" s="44" t="s">
        <v>1798</v>
      </c>
      <c r="F102" s="44" t="s">
        <v>2086</v>
      </c>
      <c r="G102" s="44" t="s">
        <v>1172</v>
      </c>
      <c r="H102" s="44" t="s">
        <v>1172</v>
      </c>
      <c r="I102" s="44" t="s">
        <v>1804</v>
      </c>
      <c r="J102" s="44"/>
      <c r="K102" s="44">
        <v>3</v>
      </c>
      <c r="L102" s="44">
        <v>5</v>
      </c>
      <c r="M102" s="44">
        <v>2</v>
      </c>
      <c r="N102" s="44">
        <v>7</v>
      </c>
      <c r="O102" s="44">
        <v>6</v>
      </c>
      <c r="P102" s="44">
        <v>1</v>
      </c>
      <c r="Q102" s="44">
        <v>4</v>
      </c>
      <c r="R102" s="44"/>
      <c r="S102" s="44"/>
    </row>
    <row r="103" spans="1:19" ht="15.75" customHeight="1">
      <c r="A103" s="44" t="b">
        <v>1</v>
      </c>
      <c r="B103" s="96" t="s">
        <v>733</v>
      </c>
      <c r="C103" s="43" t="s">
        <v>1576</v>
      </c>
      <c r="D103" s="44" t="s">
        <v>1576</v>
      </c>
      <c r="E103" s="44" t="s">
        <v>1798</v>
      </c>
      <c r="F103" s="44" t="s">
        <v>2087</v>
      </c>
      <c r="G103" s="44" t="s">
        <v>1856</v>
      </c>
      <c r="H103" s="44" t="s">
        <v>1856</v>
      </c>
      <c r="I103" s="44" t="s">
        <v>1882</v>
      </c>
      <c r="J103" s="44"/>
      <c r="K103" s="44">
        <v>3</v>
      </c>
      <c r="L103" s="44">
        <v>2</v>
      </c>
      <c r="M103" s="44">
        <v>4</v>
      </c>
      <c r="N103" s="44">
        <v>6</v>
      </c>
      <c r="O103" s="44">
        <v>7</v>
      </c>
      <c r="P103" s="44">
        <v>1</v>
      </c>
      <c r="Q103" s="44">
        <v>5</v>
      </c>
      <c r="R103" s="44" t="s">
        <v>1172</v>
      </c>
      <c r="S103" s="44" t="s">
        <v>2088</v>
      </c>
    </row>
    <row r="104" spans="1:19" ht="15.75" customHeight="1">
      <c r="A104" s="44" t="b">
        <v>1</v>
      </c>
      <c r="B104" s="96" t="s">
        <v>740</v>
      </c>
      <c r="C104" s="43" t="s">
        <v>1578</v>
      </c>
      <c r="D104" s="97" t="s">
        <v>1578</v>
      </c>
      <c r="E104" s="97" t="s">
        <v>1820</v>
      </c>
      <c r="F104" s="97" t="s">
        <v>2089</v>
      </c>
      <c r="G104" s="97" t="s">
        <v>1172</v>
      </c>
      <c r="H104" s="97" t="s">
        <v>1172</v>
      </c>
      <c r="I104" s="97" t="s">
        <v>1857</v>
      </c>
      <c r="J104" s="97" t="s">
        <v>2090</v>
      </c>
      <c r="K104" s="97">
        <v>2</v>
      </c>
      <c r="L104" s="97">
        <v>6</v>
      </c>
      <c r="M104" s="97">
        <v>1</v>
      </c>
      <c r="N104" s="97">
        <v>5</v>
      </c>
      <c r="O104" s="97">
        <v>7</v>
      </c>
      <c r="P104" s="97">
        <v>3</v>
      </c>
      <c r="Q104" s="97">
        <v>4</v>
      </c>
      <c r="R104" s="97" t="s">
        <v>1252</v>
      </c>
      <c r="S104" s="97" t="s">
        <v>1252</v>
      </c>
    </row>
    <row r="105" spans="1:19" ht="15.75" customHeight="1">
      <c r="A105" s="44" t="b">
        <v>1</v>
      </c>
      <c r="B105" s="96" t="s">
        <v>744</v>
      </c>
      <c r="C105" s="43" t="s">
        <v>1283</v>
      </c>
      <c r="D105" s="97" t="s">
        <v>1283</v>
      </c>
      <c r="E105" s="97" t="s">
        <v>1820</v>
      </c>
      <c r="F105" s="97" t="s">
        <v>2091</v>
      </c>
      <c r="G105" s="97" t="s">
        <v>2092</v>
      </c>
      <c r="H105" s="97" t="s">
        <v>1172</v>
      </c>
      <c r="I105" s="97" t="s">
        <v>1828</v>
      </c>
      <c r="J105" s="97"/>
      <c r="K105" s="97">
        <v>4</v>
      </c>
      <c r="L105" s="97">
        <v>1</v>
      </c>
      <c r="M105" s="97">
        <v>6</v>
      </c>
      <c r="N105" s="97">
        <v>3</v>
      </c>
      <c r="O105" s="97">
        <v>2</v>
      </c>
      <c r="P105" s="97">
        <v>5</v>
      </c>
      <c r="Q105" s="97">
        <v>7</v>
      </c>
      <c r="R105" s="97" t="s">
        <v>1844</v>
      </c>
      <c r="S105" s="97" t="s">
        <v>1844</v>
      </c>
    </row>
    <row r="106" spans="1:19" ht="15.75" customHeight="1">
      <c r="A106" s="44" t="b">
        <v>1</v>
      </c>
      <c r="B106" s="96" t="s">
        <v>747</v>
      </c>
      <c r="C106" s="43" t="s">
        <v>1284</v>
      </c>
      <c r="D106" s="97" t="s">
        <v>1284</v>
      </c>
      <c r="E106" s="97" t="s">
        <v>1820</v>
      </c>
      <c r="F106" s="97" t="s">
        <v>2093</v>
      </c>
      <c r="G106" s="97" t="s">
        <v>2094</v>
      </c>
      <c r="H106" s="97" t="s">
        <v>2095</v>
      </c>
      <c r="I106" s="97" t="s">
        <v>1814</v>
      </c>
      <c r="J106" s="97"/>
      <c r="K106" s="97">
        <v>2</v>
      </c>
      <c r="L106" s="97">
        <v>3</v>
      </c>
      <c r="M106" s="97">
        <v>1</v>
      </c>
      <c r="N106" s="97">
        <v>6</v>
      </c>
      <c r="O106" s="97">
        <v>5</v>
      </c>
      <c r="P106" s="97">
        <v>4</v>
      </c>
      <c r="Q106" s="97">
        <v>7</v>
      </c>
      <c r="R106" s="97" t="s">
        <v>1172</v>
      </c>
      <c r="S106" s="97" t="s">
        <v>2096</v>
      </c>
    </row>
    <row r="107" spans="1:19" ht="15.75" customHeight="1">
      <c r="A107" s="44" t="b">
        <v>1</v>
      </c>
      <c r="B107" s="96" t="s">
        <v>751</v>
      </c>
      <c r="C107" s="43" t="s">
        <v>1581</v>
      </c>
      <c r="D107" s="97" t="s">
        <v>1581</v>
      </c>
      <c r="E107" s="97" t="s">
        <v>1834</v>
      </c>
      <c r="F107" s="97" t="s">
        <v>1252</v>
      </c>
      <c r="G107" s="97" t="s">
        <v>1252</v>
      </c>
      <c r="H107" s="97" t="s">
        <v>1252</v>
      </c>
      <c r="I107" s="97" t="s">
        <v>1800</v>
      </c>
      <c r="J107" s="97" t="s">
        <v>1252</v>
      </c>
      <c r="K107" s="97">
        <v>2</v>
      </c>
      <c r="L107" s="97">
        <v>3</v>
      </c>
      <c r="M107" s="97">
        <v>1</v>
      </c>
      <c r="N107" s="97">
        <v>6</v>
      </c>
      <c r="O107" s="97">
        <v>7</v>
      </c>
      <c r="P107" s="97">
        <v>4</v>
      </c>
      <c r="Q107" s="97">
        <v>5</v>
      </c>
      <c r="R107" s="97" t="s">
        <v>1252</v>
      </c>
      <c r="S107" s="97" t="s">
        <v>1252</v>
      </c>
    </row>
    <row r="108" spans="1:19" ht="15.75" customHeight="1">
      <c r="A108" s="44" t="b">
        <v>1</v>
      </c>
      <c r="B108" s="96" t="s">
        <v>754</v>
      </c>
      <c r="C108" s="43" t="s">
        <v>1583</v>
      </c>
      <c r="D108" s="97" t="s">
        <v>1583</v>
      </c>
      <c r="E108" s="97" t="s">
        <v>1834</v>
      </c>
      <c r="F108" s="97" t="s">
        <v>2097</v>
      </c>
      <c r="G108" s="97" t="s">
        <v>1172</v>
      </c>
      <c r="H108" s="97" t="s">
        <v>1172</v>
      </c>
      <c r="I108" s="97" t="s">
        <v>1800</v>
      </c>
      <c r="J108" s="97"/>
      <c r="K108" s="97">
        <v>5</v>
      </c>
      <c r="L108" s="97">
        <v>2</v>
      </c>
      <c r="M108" s="97">
        <v>4</v>
      </c>
      <c r="N108" s="97">
        <v>3</v>
      </c>
      <c r="O108" s="97">
        <v>1</v>
      </c>
      <c r="P108" s="97">
        <v>6</v>
      </c>
      <c r="Q108" s="97">
        <v>7</v>
      </c>
      <c r="R108" s="97" t="s">
        <v>1252</v>
      </c>
      <c r="S108" s="97" t="s">
        <v>2098</v>
      </c>
    </row>
    <row r="109" spans="1:19" ht="15.75" customHeight="1">
      <c r="A109" s="44" t="b">
        <v>1</v>
      </c>
      <c r="B109" s="96" t="s">
        <v>755</v>
      </c>
      <c r="C109" s="43" t="s">
        <v>1585</v>
      </c>
      <c r="D109" s="97" t="s">
        <v>1585</v>
      </c>
      <c r="E109" s="97" t="s">
        <v>1798</v>
      </c>
      <c r="F109" s="97" t="s">
        <v>2099</v>
      </c>
      <c r="G109" s="97" t="s">
        <v>1172</v>
      </c>
      <c r="H109" s="97" t="s">
        <v>1172</v>
      </c>
      <c r="I109" s="97" t="s">
        <v>2100</v>
      </c>
      <c r="J109" s="97"/>
      <c r="K109" s="97">
        <v>1</v>
      </c>
      <c r="L109" s="97">
        <v>3</v>
      </c>
      <c r="M109" s="97">
        <v>2</v>
      </c>
      <c r="N109" s="97">
        <v>5</v>
      </c>
      <c r="O109" s="97">
        <v>6</v>
      </c>
      <c r="P109" s="97">
        <v>7</v>
      </c>
      <c r="Q109" s="97">
        <v>4</v>
      </c>
      <c r="R109" s="97" t="s">
        <v>2101</v>
      </c>
      <c r="S109" s="97" t="s">
        <v>1252</v>
      </c>
    </row>
    <row r="110" spans="1:19" ht="15.75" customHeight="1">
      <c r="A110" s="44" t="b">
        <v>1</v>
      </c>
      <c r="B110" s="96" t="s">
        <v>761</v>
      </c>
      <c r="C110" s="43" t="s">
        <v>1287</v>
      </c>
      <c r="D110" s="97" t="s">
        <v>1287</v>
      </c>
      <c r="E110" s="97" t="s">
        <v>1798</v>
      </c>
      <c r="F110" s="97" t="s">
        <v>2102</v>
      </c>
      <c r="G110" s="97" t="s">
        <v>1172</v>
      </c>
      <c r="H110" s="97" t="s">
        <v>1172</v>
      </c>
      <c r="I110" s="97" t="s">
        <v>1817</v>
      </c>
      <c r="J110" s="97" t="s">
        <v>2103</v>
      </c>
      <c r="K110" s="97">
        <v>4</v>
      </c>
      <c r="L110" s="97">
        <v>2</v>
      </c>
      <c r="M110" s="97">
        <v>3</v>
      </c>
      <c r="N110" s="97">
        <v>1</v>
      </c>
      <c r="O110" s="97">
        <v>7</v>
      </c>
      <c r="P110" s="97">
        <v>6</v>
      </c>
      <c r="Q110" s="97">
        <v>5</v>
      </c>
      <c r="R110" s="97" t="s">
        <v>1172</v>
      </c>
      <c r="S110" s="97" t="s">
        <v>2104</v>
      </c>
    </row>
    <row r="111" spans="1:19" ht="15.75" customHeight="1">
      <c r="A111" s="44" t="b">
        <v>1</v>
      </c>
      <c r="B111" s="96" t="s">
        <v>764</v>
      </c>
      <c r="C111" s="43" t="s">
        <v>1288</v>
      </c>
      <c r="D111" s="97" t="s">
        <v>1289</v>
      </c>
      <c r="E111" s="97" t="s">
        <v>1798</v>
      </c>
      <c r="F111" s="97" t="s">
        <v>1879</v>
      </c>
      <c r="G111" s="97" t="s">
        <v>2105</v>
      </c>
      <c r="H111" s="97" t="s">
        <v>2106</v>
      </c>
      <c r="I111" s="97" t="s">
        <v>1814</v>
      </c>
      <c r="J111" s="97"/>
      <c r="K111" s="97">
        <v>4</v>
      </c>
      <c r="L111" s="97">
        <v>6</v>
      </c>
      <c r="M111" s="97">
        <v>2</v>
      </c>
      <c r="N111" s="97">
        <v>3</v>
      </c>
      <c r="O111" s="97">
        <v>1</v>
      </c>
      <c r="P111" s="97">
        <v>5</v>
      </c>
      <c r="Q111" s="97">
        <v>7</v>
      </c>
      <c r="R111" s="97"/>
      <c r="S111" s="97" t="s">
        <v>2107</v>
      </c>
    </row>
    <row r="112" spans="1:19" ht="15.75" customHeight="1">
      <c r="A112" s="44" t="b">
        <v>1</v>
      </c>
      <c r="B112" s="96" t="s">
        <v>768</v>
      </c>
      <c r="C112" s="43" t="s">
        <v>1291</v>
      </c>
      <c r="D112" s="97" t="s">
        <v>2108</v>
      </c>
      <c r="E112" s="97" t="s">
        <v>1798</v>
      </c>
      <c r="F112" s="97" t="s">
        <v>2109</v>
      </c>
      <c r="G112" s="97" t="s">
        <v>1172</v>
      </c>
      <c r="H112" s="97" t="s">
        <v>2110</v>
      </c>
      <c r="I112" s="97" t="s">
        <v>1804</v>
      </c>
      <c r="J112" s="97"/>
      <c r="K112" s="97">
        <v>2</v>
      </c>
      <c r="L112" s="97">
        <v>1</v>
      </c>
      <c r="M112" s="97">
        <v>6</v>
      </c>
      <c r="N112" s="97">
        <v>4</v>
      </c>
      <c r="O112" s="97">
        <v>3</v>
      </c>
      <c r="P112" s="97">
        <v>5</v>
      </c>
      <c r="Q112" s="97">
        <v>7</v>
      </c>
      <c r="R112" s="97" t="s">
        <v>1172</v>
      </c>
      <c r="S112" s="97" t="s">
        <v>2111</v>
      </c>
    </row>
    <row r="113" spans="1:19" ht="15.75" customHeight="1">
      <c r="A113" s="44" t="b">
        <v>1</v>
      </c>
      <c r="B113" s="96" t="s">
        <v>771</v>
      </c>
      <c r="C113" s="43" t="s">
        <v>1386</v>
      </c>
      <c r="D113" s="97" t="s">
        <v>2112</v>
      </c>
      <c r="E113" s="97" t="s">
        <v>2007</v>
      </c>
      <c r="F113" s="97" t="s">
        <v>2113</v>
      </c>
      <c r="G113" s="97" t="s">
        <v>681</v>
      </c>
      <c r="H113" s="97" t="s">
        <v>681</v>
      </c>
      <c r="I113" s="97" t="s">
        <v>2100</v>
      </c>
      <c r="J113" s="97"/>
      <c r="K113" s="97">
        <v>6</v>
      </c>
      <c r="L113" s="97">
        <v>5</v>
      </c>
      <c r="M113" s="97">
        <v>1</v>
      </c>
      <c r="N113" s="97">
        <v>3</v>
      </c>
      <c r="O113" s="97">
        <v>2</v>
      </c>
      <c r="P113" s="97">
        <v>4</v>
      </c>
      <c r="Q113" s="97">
        <v>7</v>
      </c>
      <c r="R113" s="97" t="s">
        <v>681</v>
      </c>
      <c r="S113" s="97" t="s">
        <v>2114</v>
      </c>
    </row>
    <row r="114" spans="1:19" ht="15.75" customHeight="1">
      <c r="A114" s="44" t="b">
        <v>1</v>
      </c>
      <c r="B114" s="96" t="s">
        <v>777</v>
      </c>
      <c r="C114" s="43" t="s">
        <v>1587</v>
      </c>
      <c r="D114" s="97" t="s">
        <v>1587</v>
      </c>
      <c r="E114" s="97" t="s">
        <v>1834</v>
      </c>
      <c r="F114" s="97" t="s">
        <v>2115</v>
      </c>
      <c r="G114" s="97" t="s">
        <v>1172</v>
      </c>
      <c r="H114" s="97" t="s">
        <v>2116</v>
      </c>
      <c r="I114" s="97" t="s">
        <v>1814</v>
      </c>
      <c r="J114" s="97"/>
      <c r="K114" s="97">
        <v>1</v>
      </c>
      <c r="L114" s="97">
        <v>4</v>
      </c>
      <c r="M114" s="97">
        <v>7</v>
      </c>
      <c r="N114" s="97">
        <v>3</v>
      </c>
      <c r="O114" s="97">
        <v>2</v>
      </c>
      <c r="P114" s="97">
        <v>6</v>
      </c>
      <c r="Q114" s="97">
        <v>5</v>
      </c>
      <c r="R114" s="97" t="s">
        <v>2117</v>
      </c>
      <c r="S114" s="97" t="s">
        <v>1172</v>
      </c>
    </row>
    <row r="115" spans="1:19" ht="15.75" customHeight="1">
      <c r="A115" s="44" t="b">
        <v>1</v>
      </c>
      <c r="B115" s="96" t="s">
        <v>785</v>
      </c>
      <c r="C115" s="43" t="s">
        <v>1591</v>
      </c>
      <c r="D115" s="97" t="s">
        <v>1592</v>
      </c>
      <c r="E115" s="97" t="s">
        <v>1834</v>
      </c>
      <c r="F115" s="97" t="s">
        <v>2118</v>
      </c>
      <c r="G115" s="97" t="s">
        <v>1172</v>
      </c>
      <c r="H115" s="97" t="s">
        <v>1172</v>
      </c>
      <c r="I115" s="97" t="s">
        <v>2012</v>
      </c>
      <c r="J115" s="97"/>
      <c r="K115" s="97">
        <v>1</v>
      </c>
      <c r="L115" s="97">
        <v>3</v>
      </c>
      <c r="M115" s="97">
        <v>4</v>
      </c>
      <c r="N115" s="97">
        <v>5</v>
      </c>
      <c r="O115" s="97">
        <v>2</v>
      </c>
      <c r="P115" s="97">
        <v>6</v>
      </c>
      <c r="Q115" s="97">
        <v>7</v>
      </c>
      <c r="R115" s="97" t="s">
        <v>1172</v>
      </c>
      <c r="S115" s="97" t="s">
        <v>1172</v>
      </c>
    </row>
    <row r="116" spans="1:19" ht="15.75" customHeight="1">
      <c r="A116" s="44" t="b">
        <v>1</v>
      </c>
      <c r="B116" s="96" t="s">
        <v>791</v>
      </c>
      <c r="C116" s="43" t="s">
        <v>1295</v>
      </c>
      <c r="D116" s="97" t="s">
        <v>1296</v>
      </c>
      <c r="E116" s="97" t="s">
        <v>1798</v>
      </c>
      <c r="F116" s="97" t="s">
        <v>2119</v>
      </c>
      <c r="G116" s="97" t="s">
        <v>1172</v>
      </c>
      <c r="H116" s="97" t="s">
        <v>1172</v>
      </c>
      <c r="I116" s="97" t="s">
        <v>1804</v>
      </c>
      <c r="J116" s="97"/>
      <c r="K116" s="97">
        <v>5</v>
      </c>
      <c r="L116" s="97">
        <v>3</v>
      </c>
      <c r="M116" s="97">
        <v>1</v>
      </c>
      <c r="N116" s="97">
        <v>6</v>
      </c>
      <c r="O116" s="97">
        <v>7</v>
      </c>
      <c r="P116" s="97">
        <v>2</v>
      </c>
      <c r="Q116" s="97">
        <v>4</v>
      </c>
      <c r="R116" s="97" t="s">
        <v>2120</v>
      </c>
      <c r="S116" s="97" t="s">
        <v>1172</v>
      </c>
    </row>
    <row r="117" spans="1:19" ht="15.75" customHeight="1">
      <c r="A117" s="44" t="b">
        <v>1</v>
      </c>
      <c r="B117" s="96" t="s">
        <v>795</v>
      </c>
      <c r="C117" s="43" t="s">
        <v>1298</v>
      </c>
      <c r="D117" s="97" t="s">
        <v>1298</v>
      </c>
      <c r="E117" s="97" t="s">
        <v>1798</v>
      </c>
      <c r="F117" s="97" t="s">
        <v>2121</v>
      </c>
      <c r="G117" s="97" t="s">
        <v>2122</v>
      </c>
      <c r="H117" s="97" t="s">
        <v>2122</v>
      </c>
      <c r="I117" s="97" t="s">
        <v>1882</v>
      </c>
      <c r="J117" s="97"/>
      <c r="K117" s="97">
        <v>7</v>
      </c>
      <c r="L117" s="97">
        <v>5</v>
      </c>
      <c r="M117" s="97">
        <v>4</v>
      </c>
      <c r="N117" s="97">
        <v>1</v>
      </c>
      <c r="O117" s="97">
        <v>6</v>
      </c>
      <c r="P117" s="97">
        <v>2</v>
      </c>
      <c r="Q117" s="97">
        <v>3</v>
      </c>
      <c r="R117" s="97" t="s">
        <v>1838</v>
      </c>
      <c r="S117" s="97" t="s">
        <v>2123</v>
      </c>
    </row>
    <row r="118" spans="1:19" ht="15.75" customHeight="1">
      <c r="A118" s="44" t="b">
        <v>1</v>
      </c>
      <c r="B118" s="96" t="s">
        <v>798</v>
      </c>
      <c r="C118" s="43" t="s">
        <v>1593</v>
      </c>
      <c r="D118" s="97" t="s">
        <v>2124</v>
      </c>
      <c r="E118" s="97" t="s">
        <v>1798</v>
      </c>
      <c r="F118" s="97" t="s">
        <v>2125</v>
      </c>
      <c r="G118" s="97" t="s">
        <v>1172</v>
      </c>
      <c r="H118" s="97" t="s">
        <v>1172</v>
      </c>
      <c r="I118" s="97"/>
      <c r="J118" s="97"/>
      <c r="K118" s="97">
        <v>1</v>
      </c>
      <c r="L118" s="97">
        <v>6</v>
      </c>
      <c r="M118" s="97">
        <v>4</v>
      </c>
      <c r="N118" s="97">
        <v>2</v>
      </c>
      <c r="O118" s="97">
        <v>5</v>
      </c>
      <c r="P118" s="97">
        <v>7</v>
      </c>
      <c r="Q118" s="97">
        <v>3</v>
      </c>
      <c r="R118" s="97" t="s">
        <v>2126</v>
      </c>
      <c r="S118" s="97" t="s">
        <v>1172</v>
      </c>
    </row>
    <row r="119" spans="1:19" ht="15.75" customHeight="1">
      <c r="A119" s="44" t="b">
        <v>1</v>
      </c>
      <c r="B119" s="96" t="s">
        <v>801</v>
      </c>
      <c r="C119" s="43" t="s">
        <v>1596</v>
      </c>
      <c r="D119" s="97" t="s">
        <v>1596</v>
      </c>
      <c r="E119" s="97" t="s">
        <v>1798</v>
      </c>
      <c r="F119" s="97" t="s">
        <v>1394</v>
      </c>
      <c r="G119" s="97" t="s">
        <v>1172</v>
      </c>
      <c r="H119" s="97" t="s">
        <v>1172</v>
      </c>
      <c r="I119" s="97" t="s">
        <v>1800</v>
      </c>
      <c r="J119" s="97" t="s">
        <v>2127</v>
      </c>
      <c r="K119" s="97">
        <v>1</v>
      </c>
      <c r="L119" s="97">
        <v>4</v>
      </c>
      <c r="M119" s="97">
        <v>2</v>
      </c>
      <c r="N119" s="97">
        <v>3</v>
      </c>
      <c r="O119" s="97">
        <v>5</v>
      </c>
      <c r="P119" s="97">
        <v>7</v>
      </c>
      <c r="Q119" s="97">
        <v>6</v>
      </c>
      <c r="R119" s="97" t="s">
        <v>2029</v>
      </c>
      <c r="S119" s="97" t="s">
        <v>1252</v>
      </c>
    </row>
    <row r="120" spans="1:19" ht="15.75" customHeight="1">
      <c r="A120" s="44" t="b">
        <v>1</v>
      </c>
      <c r="B120" s="96" t="s">
        <v>805</v>
      </c>
      <c r="C120" s="43" t="s">
        <v>1597</v>
      </c>
      <c r="D120" s="97" t="s">
        <v>1597</v>
      </c>
      <c r="E120" s="97" t="s">
        <v>1820</v>
      </c>
      <c r="F120" s="97" t="s">
        <v>2128</v>
      </c>
      <c r="G120" s="97" t="s">
        <v>1172</v>
      </c>
      <c r="H120" s="97" t="s">
        <v>2129</v>
      </c>
      <c r="I120" s="97" t="s">
        <v>1800</v>
      </c>
      <c r="J120" s="97" t="s">
        <v>2130</v>
      </c>
      <c r="K120" s="97">
        <v>2</v>
      </c>
      <c r="L120" s="97">
        <v>1</v>
      </c>
      <c r="M120" s="97">
        <v>7</v>
      </c>
      <c r="N120" s="97">
        <v>3</v>
      </c>
      <c r="O120" s="97">
        <v>6</v>
      </c>
      <c r="P120" s="97">
        <v>4</v>
      </c>
      <c r="Q120" s="97">
        <v>5</v>
      </c>
      <c r="R120" s="97" t="s">
        <v>1252</v>
      </c>
      <c r="S120" s="97" t="s">
        <v>1172</v>
      </c>
    </row>
    <row r="121" spans="1:19" ht="15.75" customHeight="1">
      <c r="A121" s="44" t="b">
        <v>1</v>
      </c>
      <c r="B121" s="96" t="s">
        <v>811</v>
      </c>
      <c r="C121" s="43" t="s">
        <v>1299</v>
      </c>
      <c r="D121" s="97" t="s">
        <v>1299</v>
      </c>
      <c r="E121" s="97" t="s">
        <v>1820</v>
      </c>
      <c r="F121" s="97" t="s">
        <v>2131</v>
      </c>
      <c r="G121" s="97" t="s">
        <v>1844</v>
      </c>
      <c r="H121" s="97" t="s">
        <v>1844</v>
      </c>
      <c r="I121" s="97" t="s">
        <v>1804</v>
      </c>
      <c r="J121" s="97"/>
      <c r="K121" s="97">
        <v>7</v>
      </c>
      <c r="L121" s="97">
        <v>4</v>
      </c>
      <c r="M121" s="97">
        <v>5</v>
      </c>
      <c r="N121" s="97">
        <v>2</v>
      </c>
      <c r="O121" s="97">
        <v>6</v>
      </c>
      <c r="P121" s="97">
        <v>1</v>
      </c>
      <c r="Q121" s="97">
        <v>3</v>
      </c>
      <c r="R121" s="97"/>
      <c r="S121" s="97" t="s">
        <v>2132</v>
      </c>
    </row>
    <row r="122" spans="1:19" ht="15.75" customHeight="1">
      <c r="A122" s="44" t="b">
        <v>1</v>
      </c>
      <c r="B122" s="96" t="s">
        <v>816</v>
      </c>
      <c r="C122" s="43" t="s">
        <v>1599</v>
      </c>
      <c r="D122" s="97" t="s">
        <v>2133</v>
      </c>
      <c r="E122" s="97" t="s">
        <v>1820</v>
      </c>
      <c r="F122" s="117" t="s">
        <v>2134</v>
      </c>
      <c r="G122" s="97" t="s">
        <v>1172</v>
      </c>
      <c r="H122" s="97" t="s">
        <v>1172</v>
      </c>
      <c r="I122" s="97" t="s">
        <v>1915</v>
      </c>
      <c r="J122" s="97"/>
      <c r="K122" s="97">
        <v>4</v>
      </c>
      <c r="L122" s="97">
        <v>3</v>
      </c>
      <c r="M122" s="97">
        <v>2</v>
      </c>
      <c r="N122" s="97">
        <v>6</v>
      </c>
      <c r="O122" s="97">
        <v>7</v>
      </c>
      <c r="P122" s="97">
        <v>1</v>
      </c>
      <c r="Q122" s="97">
        <v>5</v>
      </c>
      <c r="R122" s="97" t="s">
        <v>2135</v>
      </c>
      <c r="S122" s="97" t="s">
        <v>2136</v>
      </c>
    </row>
    <row r="123" spans="1:19" ht="15.75" customHeight="1">
      <c r="A123" s="44" t="b">
        <v>1</v>
      </c>
      <c r="B123" s="96" t="s">
        <v>818</v>
      </c>
      <c r="C123" s="43" t="s">
        <v>1602</v>
      </c>
      <c r="D123" s="97" t="s">
        <v>2137</v>
      </c>
      <c r="E123" s="97" t="s">
        <v>1798</v>
      </c>
      <c r="F123" s="97" t="s">
        <v>2138</v>
      </c>
      <c r="G123" s="97" t="s">
        <v>1172</v>
      </c>
      <c r="H123" s="97" t="s">
        <v>1172</v>
      </c>
      <c r="I123" s="97" t="s">
        <v>1804</v>
      </c>
      <c r="J123" s="97"/>
      <c r="K123" s="97">
        <v>2</v>
      </c>
      <c r="L123" s="97">
        <v>1</v>
      </c>
      <c r="M123" s="97">
        <v>3</v>
      </c>
      <c r="N123" s="97">
        <v>7</v>
      </c>
      <c r="O123" s="97">
        <v>4</v>
      </c>
      <c r="P123" s="97">
        <v>5</v>
      </c>
      <c r="Q123" s="97">
        <v>6</v>
      </c>
      <c r="R123" s="97" t="s">
        <v>2139</v>
      </c>
      <c r="S123" s="97" t="s">
        <v>2140</v>
      </c>
    </row>
    <row r="124" spans="1:19" ht="15.75" customHeight="1">
      <c r="A124" s="44" t="b">
        <v>1</v>
      </c>
      <c r="B124" s="96" t="s">
        <v>821</v>
      </c>
      <c r="C124" s="43" t="s">
        <v>1301</v>
      </c>
      <c r="D124" s="97" t="s">
        <v>1301</v>
      </c>
      <c r="E124" s="97" t="s">
        <v>1820</v>
      </c>
      <c r="F124" s="97" t="s">
        <v>2141</v>
      </c>
      <c r="G124" s="97" t="s">
        <v>1172</v>
      </c>
      <c r="H124" s="97" t="s">
        <v>2142</v>
      </c>
      <c r="I124" s="97" t="s">
        <v>1882</v>
      </c>
      <c r="J124" s="97"/>
      <c r="K124" s="97">
        <v>1</v>
      </c>
      <c r="L124" s="97">
        <v>2</v>
      </c>
      <c r="M124" s="97">
        <v>3</v>
      </c>
      <c r="N124" s="97">
        <v>4</v>
      </c>
      <c r="O124" s="97">
        <v>5</v>
      </c>
      <c r="P124" s="97">
        <v>6</v>
      </c>
      <c r="Q124" s="97">
        <v>7</v>
      </c>
      <c r="R124" s="97" t="s">
        <v>2143</v>
      </c>
      <c r="S124" s="97" t="s">
        <v>1172</v>
      </c>
    </row>
    <row r="125" spans="1:19" ht="15.75" customHeight="1">
      <c r="A125" s="44" t="b">
        <v>1</v>
      </c>
      <c r="B125" s="96" t="s">
        <v>825</v>
      </c>
      <c r="C125" s="43" t="s">
        <v>1605</v>
      </c>
      <c r="D125" s="97" t="s">
        <v>1605</v>
      </c>
      <c r="E125" s="97" t="s">
        <v>1820</v>
      </c>
      <c r="F125" s="97" t="s">
        <v>2144</v>
      </c>
      <c r="G125" s="97" t="s">
        <v>2145</v>
      </c>
      <c r="H125" s="97" t="s">
        <v>2146</v>
      </c>
      <c r="I125" s="97" t="s">
        <v>1817</v>
      </c>
      <c r="J125" s="97" t="s">
        <v>2147</v>
      </c>
      <c r="K125" s="97">
        <v>1</v>
      </c>
      <c r="L125" s="97">
        <v>7</v>
      </c>
      <c r="M125" s="97">
        <v>2</v>
      </c>
      <c r="N125" s="97">
        <v>6</v>
      </c>
      <c r="O125" s="97">
        <v>5</v>
      </c>
      <c r="P125" s="97">
        <v>3</v>
      </c>
      <c r="Q125" s="97">
        <v>4</v>
      </c>
      <c r="R125" s="97" t="s">
        <v>1937</v>
      </c>
      <c r="S125" s="97" t="s">
        <v>1943</v>
      </c>
    </row>
    <row r="126" spans="1:19" ht="15.75" customHeight="1">
      <c r="A126" s="44" t="b">
        <v>1</v>
      </c>
      <c r="B126" s="96" t="s">
        <v>829</v>
      </c>
      <c r="C126" s="43" t="s">
        <v>1607</v>
      </c>
      <c r="D126" s="97" t="s">
        <v>2148</v>
      </c>
      <c r="E126" s="97" t="s">
        <v>1798</v>
      </c>
      <c r="F126" s="97" t="s">
        <v>2149</v>
      </c>
      <c r="G126" s="97" t="s">
        <v>1172</v>
      </c>
      <c r="H126" s="97" t="s">
        <v>1172</v>
      </c>
      <c r="I126" s="97" t="s">
        <v>1814</v>
      </c>
      <c r="J126" s="97"/>
      <c r="K126" s="97">
        <v>3</v>
      </c>
      <c r="L126" s="97">
        <v>2</v>
      </c>
      <c r="M126" s="97">
        <v>1</v>
      </c>
      <c r="N126" s="97">
        <v>7</v>
      </c>
      <c r="O126" s="97">
        <v>4</v>
      </c>
      <c r="P126" s="97">
        <v>5</v>
      </c>
      <c r="Q126" s="97">
        <v>6</v>
      </c>
      <c r="R126" s="97" t="s">
        <v>2150</v>
      </c>
      <c r="S126" s="97" t="s">
        <v>2150</v>
      </c>
    </row>
    <row r="127" spans="1:19" ht="15.75" customHeight="1">
      <c r="A127" s="44" t="b">
        <v>1</v>
      </c>
      <c r="B127" s="96" t="s">
        <v>832</v>
      </c>
      <c r="C127" s="43" t="s">
        <v>1610</v>
      </c>
      <c r="D127" s="97" t="s">
        <v>1610</v>
      </c>
      <c r="E127" s="97" t="s">
        <v>1834</v>
      </c>
      <c r="F127" s="97" t="s">
        <v>1320</v>
      </c>
      <c r="G127" s="97" t="s">
        <v>1320</v>
      </c>
      <c r="H127" s="97" t="s">
        <v>1320</v>
      </c>
      <c r="I127" s="97" t="s">
        <v>1800</v>
      </c>
      <c r="J127" s="97" t="s">
        <v>2151</v>
      </c>
      <c r="K127" s="97">
        <v>5</v>
      </c>
      <c r="L127" s="97">
        <v>4</v>
      </c>
      <c r="M127" s="97">
        <v>7</v>
      </c>
      <c r="N127" s="97">
        <v>2</v>
      </c>
      <c r="O127" s="97">
        <v>1</v>
      </c>
      <c r="P127" s="97">
        <v>3</v>
      </c>
      <c r="Q127" s="97">
        <v>6</v>
      </c>
      <c r="R127" s="97" t="s">
        <v>2152</v>
      </c>
      <c r="S127" s="97" t="s">
        <v>1320</v>
      </c>
    </row>
    <row r="128" spans="1:19" ht="15.75" customHeight="1">
      <c r="A128" s="44" t="b">
        <v>1</v>
      </c>
      <c r="B128" s="96" t="s">
        <v>835</v>
      </c>
      <c r="C128" s="43" t="s">
        <v>1304</v>
      </c>
      <c r="D128" s="97" t="s">
        <v>2153</v>
      </c>
      <c r="E128" s="97" t="s">
        <v>1820</v>
      </c>
      <c r="F128" s="97" t="s">
        <v>1840</v>
      </c>
      <c r="G128" s="97" t="s">
        <v>1172</v>
      </c>
      <c r="H128" s="97" t="s">
        <v>1172</v>
      </c>
      <c r="I128" s="97" t="s">
        <v>1804</v>
      </c>
      <c r="J128" s="97"/>
      <c r="K128" s="97">
        <v>1</v>
      </c>
      <c r="L128" s="97">
        <v>4</v>
      </c>
      <c r="M128" s="97">
        <v>3</v>
      </c>
      <c r="N128" s="97">
        <v>7</v>
      </c>
      <c r="O128" s="97">
        <v>5</v>
      </c>
      <c r="P128" s="97">
        <v>2</v>
      </c>
      <c r="Q128" s="97">
        <v>6</v>
      </c>
      <c r="R128" s="97" t="s">
        <v>1840</v>
      </c>
      <c r="S128" s="97" t="s">
        <v>1840</v>
      </c>
    </row>
    <row r="129" spans="1:19" ht="15.75" customHeight="1">
      <c r="A129" s="44" t="b">
        <v>1</v>
      </c>
      <c r="B129" s="96" t="s">
        <v>840</v>
      </c>
      <c r="C129" s="43" t="s">
        <v>1613</v>
      </c>
      <c r="D129" s="97" t="s">
        <v>1613</v>
      </c>
      <c r="E129" s="97" t="s">
        <v>1820</v>
      </c>
      <c r="F129" s="97" t="s">
        <v>2154</v>
      </c>
      <c r="G129" s="97" t="s">
        <v>1172</v>
      </c>
      <c r="H129" s="97" t="s">
        <v>1937</v>
      </c>
      <c r="I129" s="97" t="s">
        <v>1804</v>
      </c>
      <c r="J129" s="97"/>
      <c r="K129" s="97">
        <v>6</v>
      </c>
      <c r="L129" s="97">
        <v>1</v>
      </c>
      <c r="M129" s="97">
        <v>2</v>
      </c>
      <c r="N129" s="97">
        <v>7</v>
      </c>
      <c r="O129" s="97">
        <v>5</v>
      </c>
      <c r="P129" s="97">
        <v>3</v>
      </c>
      <c r="Q129" s="97">
        <v>4</v>
      </c>
      <c r="R129" s="97" t="s">
        <v>2155</v>
      </c>
      <c r="S129" s="97" t="s">
        <v>2156</v>
      </c>
    </row>
    <row r="130" spans="1:19" ht="15.75" customHeight="1">
      <c r="A130" s="44" t="b">
        <v>1</v>
      </c>
      <c r="B130" s="96" t="s">
        <v>843</v>
      </c>
      <c r="C130" s="43" t="s">
        <v>1617</v>
      </c>
      <c r="D130" s="97" t="s">
        <v>1617</v>
      </c>
      <c r="E130" s="97" t="s">
        <v>1798</v>
      </c>
      <c r="F130" s="97" t="s">
        <v>2157</v>
      </c>
      <c r="G130" s="97" t="s">
        <v>2158</v>
      </c>
      <c r="H130" s="97" t="s">
        <v>1856</v>
      </c>
      <c r="I130" s="97" t="s">
        <v>1828</v>
      </c>
      <c r="J130" s="97"/>
      <c r="K130" s="97">
        <v>1</v>
      </c>
      <c r="L130" s="97">
        <v>2</v>
      </c>
      <c r="M130" s="97">
        <v>5</v>
      </c>
      <c r="N130" s="97">
        <v>3</v>
      </c>
      <c r="O130" s="97">
        <v>6</v>
      </c>
      <c r="P130" s="97">
        <v>4</v>
      </c>
      <c r="Q130" s="97">
        <v>7</v>
      </c>
      <c r="R130" s="97" t="s">
        <v>1252</v>
      </c>
      <c r="S130" s="97" t="s">
        <v>2159</v>
      </c>
    </row>
    <row r="131" spans="1:19" ht="15.75" customHeight="1">
      <c r="A131" s="44" t="b">
        <v>1</v>
      </c>
      <c r="B131" s="96" t="s">
        <v>846</v>
      </c>
      <c r="C131" s="43" t="s">
        <v>1620</v>
      </c>
      <c r="D131" s="97" t="s">
        <v>1621</v>
      </c>
      <c r="E131" s="97" t="s">
        <v>1798</v>
      </c>
      <c r="F131" s="97" t="s">
        <v>2160</v>
      </c>
      <c r="G131" s="97" t="s">
        <v>1172</v>
      </c>
      <c r="H131" s="97" t="s">
        <v>1252</v>
      </c>
      <c r="I131" s="97" t="s">
        <v>1804</v>
      </c>
      <c r="J131" s="97"/>
      <c r="K131" s="97">
        <v>3</v>
      </c>
      <c r="L131" s="97">
        <v>1</v>
      </c>
      <c r="M131" s="97">
        <v>2</v>
      </c>
      <c r="N131" s="97">
        <v>6</v>
      </c>
      <c r="O131" s="97">
        <v>5</v>
      </c>
      <c r="P131" s="97">
        <v>4</v>
      </c>
      <c r="Q131" s="97">
        <v>7</v>
      </c>
      <c r="R131" s="97" t="s">
        <v>1252</v>
      </c>
      <c r="S131" s="97" t="s">
        <v>1252</v>
      </c>
    </row>
    <row r="132" spans="1:19" ht="15.75" customHeight="1">
      <c r="A132" s="44" t="b">
        <v>1</v>
      </c>
      <c r="B132" s="96" t="s">
        <v>849</v>
      </c>
      <c r="C132" s="43" t="s">
        <v>1624</v>
      </c>
      <c r="D132" s="97" t="s">
        <v>1625</v>
      </c>
      <c r="E132" s="97" t="s">
        <v>1798</v>
      </c>
      <c r="F132" s="97" t="s">
        <v>2161</v>
      </c>
      <c r="G132" s="97" t="s">
        <v>1172</v>
      </c>
      <c r="H132" s="97" t="s">
        <v>1172</v>
      </c>
      <c r="I132" s="97" t="s">
        <v>1882</v>
      </c>
      <c r="J132" s="97"/>
      <c r="K132" s="97">
        <v>1</v>
      </c>
      <c r="L132" s="97">
        <v>2</v>
      </c>
      <c r="M132" s="97">
        <v>4</v>
      </c>
      <c r="N132" s="97">
        <v>5</v>
      </c>
      <c r="O132" s="97">
        <v>6</v>
      </c>
      <c r="P132" s="97">
        <v>3</v>
      </c>
      <c r="Q132" s="97">
        <v>7</v>
      </c>
      <c r="R132" s="97" t="s">
        <v>1252</v>
      </c>
      <c r="S132" s="97" t="s">
        <v>2162</v>
      </c>
    </row>
    <row r="133" spans="1:19" ht="15.75" customHeight="1">
      <c r="A133" s="44" t="b">
        <v>1</v>
      </c>
      <c r="B133" s="96" t="s">
        <v>852</v>
      </c>
      <c r="C133" s="43" t="s">
        <v>1627</v>
      </c>
      <c r="D133" s="97" t="s">
        <v>1627</v>
      </c>
      <c r="E133" s="97" t="s">
        <v>1834</v>
      </c>
      <c r="F133" s="97" t="s">
        <v>1937</v>
      </c>
      <c r="G133" s="97" t="s">
        <v>1937</v>
      </c>
      <c r="H133" s="97" t="s">
        <v>1937</v>
      </c>
      <c r="I133" s="97" t="s">
        <v>1800</v>
      </c>
      <c r="J133" s="97" t="s">
        <v>1937</v>
      </c>
      <c r="K133" s="97">
        <v>4</v>
      </c>
      <c r="L133" s="97">
        <v>1</v>
      </c>
      <c r="M133" s="97">
        <v>3</v>
      </c>
      <c r="N133" s="97">
        <v>5</v>
      </c>
      <c r="O133" s="97">
        <v>2</v>
      </c>
      <c r="P133" s="97">
        <v>6</v>
      </c>
      <c r="Q133" s="97">
        <v>7</v>
      </c>
      <c r="R133" s="97" t="s">
        <v>1937</v>
      </c>
      <c r="S133" s="97" t="s">
        <v>1937</v>
      </c>
    </row>
    <row r="134" spans="1:19" ht="15.75" customHeight="1">
      <c r="A134" s="44" t="b">
        <v>1</v>
      </c>
      <c r="B134" s="96" t="s">
        <v>855</v>
      </c>
      <c r="C134" s="43" t="s">
        <v>1631</v>
      </c>
      <c r="D134" s="97" t="s">
        <v>2163</v>
      </c>
      <c r="E134" s="97" t="s">
        <v>1798</v>
      </c>
      <c r="F134" s="97" t="s">
        <v>2164</v>
      </c>
      <c r="G134" s="97" t="s">
        <v>1172</v>
      </c>
      <c r="H134" s="97" t="s">
        <v>1172</v>
      </c>
      <c r="I134" s="97" t="s">
        <v>1800</v>
      </c>
      <c r="J134" s="97" t="s">
        <v>2165</v>
      </c>
      <c r="K134" s="97">
        <v>1</v>
      </c>
      <c r="L134" s="97">
        <v>2</v>
      </c>
      <c r="M134" s="97">
        <v>3</v>
      </c>
      <c r="N134" s="97">
        <v>4</v>
      </c>
      <c r="O134" s="97">
        <v>5</v>
      </c>
      <c r="P134" s="97">
        <v>6</v>
      </c>
      <c r="Q134" s="97">
        <v>7</v>
      </c>
      <c r="R134" s="97" t="s">
        <v>2166</v>
      </c>
      <c r="S134" s="97" t="s">
        <v>2167</v>
      </c>
    </row>
    <row r="135" spans="1:19" ht="15.75" customHeight="1">
      <c r="A135" s="44" t="b">
        <v>1</v>
      </c>
      <c r="B135" s="96" t="s">
        <v>858</v>
      </c>
      <c r="C135" s="43" t="s">
        <v>1634</v>
      </c>
      <c r="D135" s="97" t="s">
        <v>2168</v>
      </c>
      <c r="E135" s="97" t="s">
        <v>1798</v>
      </c>
      <c r="F135" s="97" t="s">
        <v>2169</v>
      </c>
      <c r="G135" s="97" t="s">
        <v>2170</v>
      </c>
      <c r="H135" s="97" t="s">
        <v>2171</v>
      </c>
      <c r="I135" s="97" t="s">
        <v>1804</v>
      </c>
      <c r="J135" s="97"/>
      <c r="K135" s="97">
        <v>6</v>
      </c>
      <c r="L135" s="97">
        <v>1</v>
      </c>
      <c r="M135" s="97">
        <v>2</v>
      </c>
      <c r="N135" s="97">
        <v>5</v>
      </c>
      <c r="O135" s="97">
        <v>7</v>
      </c>
      <c r="P135" s="97">
        <v>3</v>
      </c>
      <c r="Q135" s="97">
        <v>4</v>
      </c>
      <c r="R135" s="97" t="s">
        <v>1172</v>
      </c>
      <c r="S135" s="97" t="s">
        <v>1172</v>
      </c>
    </row>
    <row r="136" spans="1:19" ht="15.75" customHeight="1">
      <c r="A136" s="44" t="b">
        <v>1</v>
      </c>
      <c r="B136" s="96" t="s">
        <v>861</v>
      </c>
      <c r="C136" s="43" t="s">
        <v>1638</v>
      </c>
      <c r="D136" s="97" t="s">
        <v>1639</v>
      </c>
      <c r="E136" s="97" t="s">
        <v>1820</v>
      </c>
      <c r="F136" s="97" t="s">
        <v>1761</v>
      </c>
      <c r="G136" s="97" t="s">
        <v>1172</v>
      </c>
      <c r="H136" s="97" t="s">
        <v>1172</v>
      </c>
      <c r="I136" s="97" t="s">
        <v>1804</v>
      </c>
      <c r="J136" s="97"/>
      <c r="K136" s="97">
        <v>4</v>
      </c>
      <c r="L136" s="97">
        <v>1</v>
      </c>
      <c r="M136" s="97">
        <v>2</v>
      </c>
      <c r="N136" s="97">
        <v>5</v>
      </c>
      <c r="O136" s="97">
        <v>6</v>
      </c>
      <c r="P136" s="97">
        <v>3</v>
      </c>
      <c r="Q136" s="97">
        <v>7</v>
      </c>
      <c r="R136" s="97" t="s">
        <v>1172</v>
      </c>
      <c r="S136" s="97" t="s">
        <v>2172</v>
      </c>
    </row>
    <row r="137" spans="1:19" ht="15.75" customHeight="1">
      <c r="A137" s="44" t="b">
        <v>1</v>
      </c>
      <c r="B137" s="96" t="s">
        <v>866</v>
      </c>
      <c r="C137" s="43" t="s">
        <v>1641</v>
      </c>
      <c r="D137" s="97" t="s">
        <v>1642</v>
      </c>
      <c r="E137" s="97" t="s">
        <v>1820</v>
      </c>
      <c r="F137" s="97" t="s">
        <v>2173</v>
      </c>
      <c r="G137" s="97" t="s">
        <v>1172</v>
      </c>
      <c r="H137" s="97" t="s">
        <v>1172</v>
      </c>
      <c r="I137" s="97" t="s">
        <v>2012</v>
      </c>
      <c r="J137" s="97"/>
      <c r="K137" s="97">
        <v>2</v>
      </c>
      <c r="L137" s="97">
        <v>3</v>
      </c>
      <c r="M137" s="97">
        <v>4</v>
      </c>
      <c r="N137" s="97">
        <v>5</v>
      </c>
      <c r="O137" s="97">
        <v>6</v>
      </c>
      <c r="P137" s="97">
        <v>1</v>
      </c>
      <c r="Q137" s="97">
        <v>7</v>
      </c>
      <c r="R137" s="97" t="s">
        <v>2174</v>
      </c>
      <c r="S137" s="97" t="s">
        <v>1937</v>
      </c>
    </row>
    <row r="138" spans="1:19" ht="15.75" customHeight="1">
      <c r="A138" s="44" t="b">
        <v>1</v>
      </c>
      <c r="B138" s="96" t="s">
        <v>869</v>
      </c>
      <c r="C138" s="43" t="s">
        <v>1645</v>
      </c>
      <c r="D138" s="97" t="s">
        <v>1645</v>
      </c>
      <c r="E138" s="97" t="s">
        <v>1798</v>
      </c>
      <c r="F138" s="97" t="s">
        <v>2175</v>
      </c>
      <c r="G138" s="97" t="s">
        <v>1172</v>
      </c>
      <c r="H138" s="97" t="s">
        <v>2176</v>
      </c>
      <c r="I138" s="97" t="s">
        <v>1967</v>
      </c>
      <c r="J138" s="97" t="s">
        <v>2177</v>
      </c>
      <c r="K138" s="97">
        <v>3</v>
      </c>
      <c r="L138" s="97">
        <v>2</v>
      </c>
      <c r="M138" s="97">
        <v>1</v>
      </c>
      <c r="N138" s="97">
        <v>5</v>
      </c>
      <c r="O138" s="97">
        <v>6</v>
      </c>
      <c r="P138" s="97">
        <v>7</v>
      </c>
      <c r="Q138" s="97">
        <v>4</v>
      </c>
      <c r="R138" s="97" t="s">
        <v>2178</v>
      </c>
      <c r="S138" s="97" t="s">
        <v>2179</v>
      </c>
    </row>
    <row r="139" spans="1:19" ht="15.75" customHeight="1">
      <c r="A139" s="44" t="b">
        <v>1</v>
      </c>
      <c r="B139" s="96" t="s">
        <v>872</v>
      </c>
      <c r="C139" s="43" t="s">
        <v>1648</v>
      </c>
      <c r="D139" s="97" t="s">
        <v>1648</v>
      </c>
      <c r="E139" s="97" t="s">
        <v>1798</v>
      </c>
      <c r="F139" s="97" t="s">
        <v>2180</v>
      </c>
      <c r="G139" s="97" t="s">
        <v>1172</v>
      </c>
      <c r="H139" s="97" t="s">
        <v>2181</v>
      </c>
      <c r="I139" s="97" t="s">
        <v>1804</v>
      </c>
      <c r="J139" s="97"/>
      <c r="K139" s="97">
        <v>2</v>
      </c>
      <c r="L139" s="97">
        <v>1</v>
      </c>
      <c r="M139" s="97">
        <v>3</v>
      </c>
      <c r="N139" s="97">
        <v>4</v>
      </c>
      <c r="O139" s="97">
        <v>7</v>
      </c>
      <c r="P139" s="97">
        <v>5</v>
      </c>
      <c r="Q139" s="97">
        <v>6</v>
      </c>
      <c r="R139" s="97" t="s">
        <v>2182</v>
      </c>
      <c r="S139" s="97" t="s">
        <v>2183</v>
      </c>
    </row>
    <row r="140" spans="1:19" ht="15.75" customHeight="1">
      <c r="A140" s="44" t="b">
        <v>1</v>
      </c>
      <c r="B140" s="96" t="s">
        <v>875</v>
      </c>
      <c r="C140" s="43" t="s">
        <v>1651</v>
      </c>
      <c r="D140" s="98" t="s">
        <v>1651</v>
      </c>
      <c r="E140" s="98" t="s">
        <v>1798</v>
      </c>
      <c r="F140" s="98" t="s">
        <v>2184</v>
      </c>
      <c r="G140" s="98" t="s">
        <v>1172</v>
      </c>
      <c r="H140" s="98" t="s">
        <v>1172</v>
      </c>
      <c r="I140" s="98" t="s">
        <v>1800</v>
      </c>
      <c r="J140" s="98" t="s">
        <v>2185</v>
      </c>
      <c r="K140" s="97">
        <v>2</v>
      </c>
      <c r="L140" s="97">
        <v>1</v>
      </c>
      <c r="M140" s="97">
        <v>3</v>
      </c>
      <c r="N140" s="97">
        <v>7</v>
      </c>
      <c r="O140" s="97">
        <v>6</v>
      </c>
      <c r="P140" s="97">
        <v>4</v>
      </c>
      <c r="Q140" s="97">
        <v>5</v>
      </c>
      <c r="R140" s="98" t="s">
        <v>1172</v>
      </c>
      <c r="S140" s="98" t="s">
        <v>2186</v>
      </c>
    </row>
    <row r="141" spans="1:19" ht="15.75" customHeight="1">
      <c r="A141" s="44" t="b">
        <v>1</v>
      </c>
      <c r="B141" s="96" t="s">
        <v>879</v>
      </c>
      <c r="C141" s="43" t="s">
        <v>1654</v>
      </c>
      <c r="D141" s="98" t="s">
        <v>1654</v>
      </c>
      <c r="E141" s="98" t="s">
        <v>1798</v>
      </c>
      <c r="F141" s="98" t="s">
        <v>2187</v>
      </c>
      <c r="G141" s="98" t="s">
        <v>2188</v>
      </c>
      <c r="H141" s="98" t="s">
        <v>2189</v>
      </c>
      <c r="I141" s="98" t="s">
        <v>1800</v>
      </c>
      <c r="J141" s="98" t="s">
        <v>2190</v>
      </c>
      <c r="K141" s="97">
        <v>2</v>
      </c>
      <c r="L141" s="97">
        <v>1</v>
      </c>
      <c r="M141" s="97">
        <v>3</v>
      </c>
      <c r="N141" s="97">
        <v>5</v>
      </c>
      <c r="O141" s="97">
        <v>7</v>
      </c>
      <c r="P141" s="97">
        <v>6</v>
      </c>
      <c r="Q141" s="97">
        <v>4</v>
      </c>
      <c r="R141" s="98" t="s">
        <v>2191</v>
      </c>
      <c r="S141" s="98" t="s">
        <v>2192</v>
      </c>
    </row>
    <row r="142" spans="1:19" ht="15.75" customHeight="1">
      <c r="A142" s="44" t="b">
        <v>1</v>
      </c>
      <c r="B142" s="96" t="s">
        <v>882</v>
      </c>
      <c r="C142" s="43" t="s">
        <v>1656</v>
      </c>
      <c r="D142" s="98" t="s">
        <v>1656</v>
      </c>
      <c r="E142" s="98" t="s">
        <v>1798</v>
      </c>
      <c r="F142" s="98" t="s">
        <v>2193</v>
      </c>
      <c r="G142" s="98" t="s">
        <v>1172</v>
      </c>
      <c r="H142" s="98" t="s">
        <v>1172</v>
      </c>
      <c r="I142" s="98" t="s">
        <v>1814</v>
      </c>
      <c r="J142" s="98"/>
      <c r="K142" s="97">
        <v>1</v>
      </c>
      <c r="L142" s="97">
        <v>2</v>
      </c>
      <c r="M142" s="97">
        <v>3</v>
      </c>
      <c r="N142" s="97">
        <v>7</v>
      </c>
      <c r="O142" s="97">
        <v>6</v>
      </c>
      <c r="P142" s="97">
        <v>5</v>
      </c>
      <c r="Q142" s="97">
        <v>4</v>
      </c>
      <c r="R142" s="98" t="s">
        <v>1172</v>
      </c>
      <c r="S142" s="98" t="s">
        <v>1172</v>
      </c>
    </row>
    <row r="143" spans="1:19" ht="15.75" customHeight="1">
      <c r="A143" s="44" t="b">
        <v>1</v>
      </c>
      <c r="B143" s="96" t="s">
        <v>886</v>
      </c>
      <c r="C143" s="43" t="s">
        <v>1660</v>
      </c>
      <c r="D143" s="98" t="s">
        <v>1660</v>
      </c>
      <c r="E143" s="98" t="s">
        <v>1798</v>
      </c>
      <c r="F143" s="98" t="s">
        <v>2194</v>
      </c>
      <c r="G143" s="98" t="s">
        <v>1172</v>
      </c>
      <c r="H143" s="98" t="s">
        <v>1172</v>
      </c>
      <c r="I143" s="98" t="s">
        <v>1800</v>
      </c>
      <c r="J143" s="98" t="s">
        <v>2195</v>
      </c>
      <c r="K143" s="97">
        <v>7</v>
      </c>
      <c r="L143" s="97">
        <v>3</v>
      </c>
      <c r="M143" s="97">
        <v>2</v>
      </c>
      <c r="N143" s="97">
        <v>1</v>
      </c>
      <c r="O143" s="97">
        <v>4</v>
      </c>
      <c r="P143" s="97">
        <v>5</v>
      </c>
      <c r="Q143" s="97">
        <v>6</v>
      </c>
      <c r="R143" s="98" t="s">
        <v>2196</v>
      </c>
      <c r="S143" s="98" t="s">
        <v>2197</v>
      </c>
    </row>
    <row r="144" spans="1:19" ht="15.75" customHeight="1">
      <c r="A144" s="44" t="b">
        <v>1</v>
      </c>
      <c r="B144" s="96" t="s">
        <v>888</v>
      </c>
      <c r="C144" s="44" t="s">
        <v>1604</v>
      </c>
      <c r="D144" s="98" t="s">
        <v>1604</v>
      </c>
      <c r="E144" s="98" t="s">
        <v>1798</v>
      </c>
      <c r="F144" s="98" t="s">
        <v>2198</v>
      </c>
      <c r="G144" s="98" t="s">
        <v>1172</v>
      </c>
      <c r="H144" s="98" t="s">
        <v>1172</v>
      </c>
      <c r="I144" s="98" t="s">
        <v>1800</v>
      </c>
      <c r="J144" s="98" t="s">
        <v>2199</v>
      </c>
      <c r="K144" s="97">
        <v>1</v>
      </c>
      <c r="L144" s="97">
        <v>2</v>
      </c>
      <c r="M144" s="97">
        <v>3</v>
      </c>
      <c r="N144" s="97">
        <v>4</v>
      </c>
      <c r="O144" s="97">
        <v>6</v>
      </c>
      <c r="P144" s="97">
        <v>7</v>
      </c>
      <c r="Q144" s="97">
        <v>5</v>
      </c>
      <c r="R144" s="98" t="s">
        <v>1172</v>
      </c>
      <c r="S144" s="98" t="s">
        <v>1172</v>
      </c>
    </row>
    <row r="145" spans="1:19" ht="15.75" customHeight="1">
      <c r="A145" s="44" t="b">
        <v>1</v>
      </c>
      <c r="B145" s="96" t="s">
        <v>891</v>
      </c>
      <c r="C145" s="99" t="s">
        <v>1307</v>
      </c>
      <c r="D145" s="98" t="s">
        <v>1307</v>
      </c>
      <c r="E145" s="98" t="s">
        <v>1798</v>
      </c>
      <c r="F145" s="98" t="s">
        <v>2200</v>
      </c>
      <c r="G145" s="98" t="s">
        <v>1172</v>
      </c>
      <c r="H145" s="98" t="s">
        <v>1172</v>
      </c>
      <c r="I145" s="98" t="s">
        <v>1857</v>
      </c>
      <c r="J145" s="98" t="s">
        <v>2201</v>
      </c>
      <c r="K145" s="97">
        <v>1</v>
      </c>
      <c r="L145" s="97">
        <v>2</v>
      </c>
      <c r="M145" s="97">
        <v>3</v>
      </c>
      <c r="N145" s="97">
        <v>5</v>
      </c>
      <c r="O145" s="97">
        <v>7</v>
      </c>
      <c r="P145" s="97">
        <v>4</v>
      </c>
      <c r="Q145" s="97">
        <v>6</v>
      </c>
      <c r="R145" s="98" t="s">
        <v>2202</v>
      </c>
      <c r="S145" s="98" t="s">
        <v>2203</v>
      </c>
    </row>
    <row r="146" spans="1:19" ht="15.75" customHeight="1">
      <c r="A146" s="44" t="b">
        <v>1</v>
      </c>
      <c r="B146" s="96" t="s">
        <v>894</v>
      </c>
      <c r="C146" s="43" t="s">
        <v>1310</v>
      </c>
      <c r="D146" s="98" t="s">
        <v>1311</v>
      </c>
      <c r="E146" s="98" t="s">
        <v>1820</v>
      </c>
      <c r="F146" s="98" t="s">
        <v>2204</v>
      </c>
      <c r="G146" s="98" t="s">
        <v>1172</v>
      </c>
      <c r="H146" s="98" t="s">
        <v>1172</v>
      </c>
      <c r="I146" s="98" t="s">
        <v>1828</v>
      </c>
      <c r="J146" s="98"/>
      <c r="K146" s="97">
        <v>5</v>
      </c>
      <c r="L146" s="97">
        <v>1</v>
      </c>
      <c r="M146" s="97">
        <v>4</v>
      </c>
      <c r="N146" s="97">
        <v>2</v>
      </c>
      <c r="O146" s="97">
        <v>3</v>
      </c>
      <c r="P146" s="97">
        <v>6</v>
      </c>
      <c r="Q146" s="97">
        <v>7</v>
      </c>
      <c r="R146" s="98" t="s">
        <v>1252</v>
      </c>
      <c r="S146" s="98" t="s">
        <v>1252</v>
      </c>
    </row>
    <row r="147" spans="1:19" ht="15.75" customHeight="1">
      <c r="A147" s="44" t="b">
        <v>1</v>
      </c>
      <c r="B147" s="96" t="s">
        <v>896</v>
      </c>
      <c r="C147" s="44" t="s">
        <v>1612</v>
      </c>
      <c r="D147" s="98" t="s">
        <v>1612</v>
      </c>
      <c r="E147" s="98" t="s">
        <v>1798</v>
      </c>
      <c r="F147" s="98" t="s">
        <v>2205</v>
      </c>
      <c r="G147" s="98" t="s">
        <v>1172</v>
      </c>
      <c r="H147" s="98" t="s">
        <v>1172</v>
      </c>
      <c r="I147" s="98" t="s">
        <v>1817</v>
      </c>
      <c r="J147" s="98" t="s">
        <v>1320</v>
      </c>
      <c r="K147" s="97">
        <v>3</v>
      </c>
      <c r="L147" s="97">
        <v>2</v>
      </c>
      <c r="M147" s="97">
        <v>1</v>
      </c>
      <c r="N147" s="97">
        <v>7</v>
      </c>
      <c r="O147" s="97">
        <v>6</v>
      </c>
      <c r="P147" s="97">
        <v>4</v>
      </c>
      <c r="Q147" s="97">
        <v>5</v>
      </c>
      <c r="R147" s="98" t="s">
        <v>2206</v>
      </c>
      <c r="S147" s="98" t="s">
        <v>2207</v>
      </c>
    </row>
    <row r="148" spans="1:19" ht="15.75" customHeight="1">
      <c r="A148" s="44" t="b">
        <v>1</v>
      </c>
      <c r="B148" s="96" t="s">
        <v>900</v>
      </c>
      <c r="C148" s="43" t="s">
        <v>1616</v>
      </c>
      <c r="D148" s="98" t="s">
        <v>1616</v>
      </c>
      <c r="E148" s="98" t="s">
        <v>1798</v>
      </c>
      <c r="F148" s="98" t="s">
        <v>2208</v>
      </c>
      <c r="G148" s="98" t="s">
        <v>1172</v>
      </c>
      <c r="H148" s="98" t="s">
        <v>1172</v>
      </c>
      <c r="I148" s="98" t="s">
        <v>1800</v>
      </c>
      <c r="J148" s="98" t="s">
        <v>2209</v>
      </c>
      <c r="K148" s="97">
        <v>3</v>
      </c>
      <c r="L148" s="97">
        <v>2</v>
      </c>
      <c r="M148" s="97">
        <v>1</v>
      </c>
      <c r="N148" s="97">
        <v>4</v>
      </c>
      <c r="O148" s="97">
        <v>7</v>
      </c>
      <c r="P148" s="97">
        <v>6</v>
      </c>
      <c r="Q148" s="97">
        <v>5</v>
      </c>
      <c r="R148" s="98" t="s">
        <v>1891</v>
      </c>
      <c r="S148" s="98" t="s">
        <v>2210</v>
      </c>
    </row>
    <row r="149" spans="1:19" ht="15.75" customHeight="1">
      <c r="A149" s="44" t="b">
        <v>1</v>
      </c>
      <c r="B149" s="96" t="s">
        <v>903</v>
      </c>
      <c r="C149" s="43" t="s">
        <v>1619</v>
      </c>
      <c r="D149" s="98" t="s">
        <v>1619</v>
      </c>
      <c r="E149" s="98" t="s">
        <v>1834</v>
      </c>
      <c r="F149" s="98" t="s">
        <v>2211</v>
      </c>
      <c r="G149" s="98" t="s">
        <v>1172</v>
      </c>
      <c r="H149" s="98" t="s">
        <v>1172</v>
      </c>
      <c r="I149" s="98" t="s">
        <v>1857</v>
      </c>
      <c r="J149" s="98" t="s">
        <v>2212</v>
      </c>
      <c r="K149" s="97">
        <v>3</v>
      </c>
      <c r="L149" s="97">
        <v>4</v>
      </c>
      <c r="M149" s="97">
        <v>5</v>
      </c>
      <c r="N149" s="97">
        <v>2</v>
      </c>
      <c r="O149" s="97">
        <v>7</v>
      </c>
      <c r="P149" s="97">
        <v>1</v>
      </c>
      <c r="Q149" s="97">
        <v>6</v>
      </c>
      <c r="R149" s="98" t="s">
        <v>2213</v>
      </c>
      <c r="S149" s="98" t="s">
        <v>2214</v>
      </c>
    </row>
    <row r="150" spans="1:19" ht="15.75" customHeight="1">
      <c r="A150" s="44" t="b">
        <v>1</v>
      </c>
      <c r="B150" s="96" t="s">
        <v>911</v>
      </c>
      <c r="C150" s="43" t="s">
        <v>1312</v>
      </c>
      <c r="D150" s="98" t="s">
        <v>1312</v>
      </c>
      <c r="E150" s="98" t="s">
        <v>1798</v>
      </c>
      <c r="F150" s="98" t="s">
        <v>2215</v>
      </c>
      <c r="G150" s="98" t="s">
        <v>1172</v>
      </c>
      <c r="H150" s="98" t="s">
        <v>1172</v>
      </c>
      <c r="I150" s="98" t="s">
        <v>1800</v>
      </c>
      <c r="J150" s="98" t="s">
        <v>2216</v>
      </c>
      <c r="K150" s="97">
        <v>3</v>
      </c>
      <c r="L150" s="97">
        <v>2</v>
      </c>
      <c r="M150" s="97">
        <v>1</v>
      </c>
      <c r="N150" s="97">
        <v>5</v>
      </c>
      <c r="O150" s="97">
        <v>6</v>
      </c>
      <c r="P150" s="97">
        <v>4</v>
      </c>
      <c r="Q150" s="97">
        <v>7</v>
      </c>
      <c r="R150" s="98"/>
      <c r="S150" s="98" t="s">
        <v>2217</v>
      </c>
    </row>
    <row r="151" spans="1:19" ht="15.75" customHeight="1">
      <c r="A151" s="44" t="b">
        <v>1</v>
      </c>
      <c r="B151" s="96" t="s">
        <v>914</v>
      </c>
      <c r="C151" s="43" t="s">
        <v>1626</v>
      </c>
      <c r="D151" s="98" t="s">
        <v>1669</v>
      </c>
      <c r="E151" s="98" t="s">
        <v>1820</v>
      </c>
      <c r="F151" s="98" t="s">
        <v>2218</v>
      </c>
      <c r="G151" s="98" t="s">
        <v>1172</v>
      </c>
      <c r="H151" s="98" t="s">
        <v>1172</v>
      </c>
      <c r="I151" s="98" t="s">
        <v>1800</v>
      </c>
      <c r="J151" s="98" t="s">
        <v>2219</v>
      </c>
      <c r="K151" s="97">
        <v>5</v>
      </c>
      <c r="L151" s="97">
        <v>1</v>
      </c>
      <c r="M151" s="97">
        <v>2</v>
      </c>
      <c r="N151" s="97">
        <v>3</v>
      </c>
      <c r="O151" s="97">
        <v>4</v>
      </c>
      <c r="P151" s="97">
        <v>7</v>
      </c>
      <c r="Q151" s="97">
        <v>6</v>
      </c>
      <c r="R151" s="98" t="s">
        <v>2220</v>
      </c>
      <c r="S151" s="98" t="s">
        <v>2221</v>
      </c>
    </row>
    <row r="152" spans="1:19" ht="15.75" customHeight="1">
      <c r="A152" s="44" t="b">
        <v>1</v>
      </c>
      <c r="B152" s="96" t="s">
        <v>916</v>
      </c>
      <c r="C152" s="44" t="s">
        <v>1630</v>
      </c>
      <c r="D152" s="98" t="s">
        <v>1630</v>
      </c>
      <c r="E152" s="98" t="s">
        <v>1798</v>
      </c>
      <c r="F152" s="98" t="s">
        <v>2222</v>
      </c>
      <c r="G152" s="98" t="s">
        <v>1172</v>
      </c>
      <c r="H152" s="98" t="s">
        <v>1172</v>
      </c>
      <c r="I152" s="98" t="s">
        <v>1800</v>
      </c>
      <c r="J152" s="98" t="s">
        <v>2223</v>
      </c>
      <c r="K152" s="97">
        <v>3</v>
      </c>
      <c r="L152" s="97">
        <v>1</v>
      </c>
      <c r="M152" s="97">
        <v>5</v>
      </c>
      <c r="N152" s="97">
        <v>2</v>
      </c>
      <c r="O152" s="97">
        <v>7</v>
      </c>
      <c r="P152" s="97">
        <v>6</v>
      </c>
      <c r="Q152" s="97">
        <v>4</v>
      </c>
      <c r="R152" s="98" t="s">
        <v>2224</v>
      </c>
      <c r="S152" s="98" t="s">
        <v>1172</v>
      </c>
    </row>
    <row r="153" spans="1:19" ht="15.75" customHeight="1">
      <c r="A153" s="44" t="b">
        <v>1</v>
      </c>
      <c r="B153" s="96" t="s">
        <v>920</v>
      </c>
      <c r="C153" s="44" t="s">
        <v>1633</v>
      </c>
      <c r="D153" s="98" t="s">
        <v>2225</v>
      </c>
      <c r="E153" s="98" t="s">
        <v>1798</v>
      </c>
      <c r="F153" s="98" t="s">
        <v>2226</v>
      </c>
      <c r="G153" s="98" t="s">
        <v>1172</v>
      </c>
      <c r="H153" s="98" t="s">
        <v>1172</v>
      </c>
      <c r="I153" s="98" t="s">
        <v>1814</v>
      </c>
      <c r="J153" s="98"/>
      <c r="K153" s="97">
        <v>3</v>
      </c>
      <c r="L153" s="97">
        <v>6</v>
      </c>
      <c r="M153" s="97">
        <v>2</v>
      </c>
      <c r="N153" s="97">
        <v>1</v>
      </c>
      <c r="O153" s="97">
        <v>7</v>
      </c>
      <c r="P153" s="97">
        <v>5</v>
      </c>
      <c r="Q153" s="97">
        <v>4</v>
      </c>
      <c r="R153" s="98" t="s">
        <v>2227</v>
      </c>
      <c r="S153" s="98" t="s">
        <v>2228</v>
      </c>
    </row>
    <row r="154" spans="1:19" ht="15.75" customHeight="1">
      <c r="A154" s="44" t="b">
        <v>1</v>
      </c>
      <c r="B154" s="96" t="s">
        <v>923</v>
      </c>
      <c r="C154" s="43" t="s">
        <v>1637</v>
      </c>
      <c r="D154" s="98" t="s">
        <v>1637</v>
      </c>
      <c r="E154" s="98" t="s">
        <v>1798</v>
      </c>
      <c r="F154" s="98" t="s">
        <v>2229</v>
      </c>
      <c r="G154" s="98" t="s">
        <v>2230</v>
      </c>
      <c r="H154" s="98" t="s">
        <v>1172</v>
      </c>
      <c r="I154" s="98" t="s">
        <v>1967</v>
      </c>
      <c r="J154" s="98" t="s">
        <v>2231</v>
      </c>
      <c r="K154" s="97">
        <v>1</v>
      </c>
      <c r="L154" s="97">
        <v>5</v>
      </c>
      <c r="M154" s="97">
        <v>4</v>
      </c>
      <c r="N154" s="97">
        <v>3</v>
      </c>
      <c r="O154" s="97">
        <v>2</v>
      </c>
      <c r="P154" s="97">
        <v>6</v>
      </c>
      <c r="Q154" s="97">
        <v>7</v>
      </c>
      <c r="R154" s="98" t="s">
        <v>1172</v>
      </c>
      <c r="S154" s="98" t="s">
        <v>2232</v>
      </c>
    </row>
    <row r="155" spans="1:19" ht="15.75" customHeight="1">
      <c r="A155" s="44" t="b">
        <v>1</v>
      </c>
      <c r="B155" s="96" t="s">
        <v>928</v>
      </c>
      <c r="C155" s="43" t="s">
        <v>1640</v>
      </c>
      <c r="D155" s="98" t="s">
        <v>2233</v>
      </c>
      <c r="E155" s="98" t="s">
        <v>1798</v>
      </c>
      <c r="F155" s="98" t="s">
        <v>2234</v>
      </c>
      <c r="G155" s="98" t="s">
        <v>1937</v>
      </c>
      <c r="H155" s="98" t="s">
        <v>1937</v>
      </c>
      <c r="I155" s="98" t="s">
        <v>1804</v>
      </c>
      <c r="J155" s="98"/>
      <c r="K155" s="97">
        <v>1</v>
      </c>
      <c r="L155" s="97">
        <v>2</v>
      </c>
      <c r="M155" s="97">
        <v>3</v>
      </c>
      <c r="N155" s="97">
        <v>7</v>
      </c>
      <c r="O155" s="97">
        <v>6</v>
      </c>
      <c r="P155" s="97">
        <v>5</v>
      </c>
      <c r="Q155" s="97">
        <v>4</v>
      </c>
      <c r="R155" s="98" t="s">
        <v>2235</v>
      </c>
      <c r="S155" s="98" t="s">
        <v>2236</v>
      </c>
    </row>
    <row r="156" spans="1:19" ht="15.75" customHeight="1">
      <c r="A156" s="44" t="b">
        <v>1</v>
      </c>
      <c r="B156" s="96" t="s">
        <v>932</v>
      </c>
      <c r="C156" s="44" t="s">
        <v>1313</v>
      </c>
      <c r="D156" s="98" t="s">
        <v>1314</v>
      </c>
      <c r="E156" s="98" t="s">
        <v>1798</v>
      </c>
      <c r="F156" s="98" t="s">
        <v>1940</v>
      </c>
      <c r="G156" s="98" t="s">
        <v>1172</v>
      </c>
      <c r="H156" s="98" t="s">
        <v>1172</v>
      </c>
      <c r="I156" s="98" t="s">
        <v>1828</v>
      </c>
      <c r="J156" s="98"/>
      <c r="K156" s="97">
        <v>1</v>
      </c>
      <c r="L156" s="97">
        <v>3</v>
      </c>
      <c r="M156" s="97">
        <v>2</v>
      </c>
      <c r="N156" s="97">
        <v>5</v>
      </c>
      <c r="O156" s="97">
        <v>6</v>
      </c>
      <c r="P156" s="97">
        <v>4</v>
      </c>
      <c r="Q156" s="97">
        <v>7</v>
      </c>
      <c r="R156" s="98" t="s">
        <v>1172</v>
      </c>
      <c r="S156" s="98" t="s">
        <v>1252</v>
      </c>
    </row>
    <row r="157" spans="1:19" ht="15.75" customHeight="1">
      <c r="A157" s="44" t="b">
        <v>1</v>
      </c>
      <c r="B157" s="96" t="s">
        <v>935</v>
      </c>
      <c r="C157" s="44" t="s">
        <v>1647</v>
      </c>
      <c r="D157" s="98" t="s">
        <v>1647</v>
      </c>
      <c r="E157" s="98" t="s">
        <v>1798</v>
      </c>
      <c r="F157" s="98" t="s">
        <v>1327</v>
      </c>
      <c r="G157" s="98" t="s">
        <v>1172</v>
      </c>
      <c r="H157" s="98" t="s">
        <v>1172</v>
      </c>
      <c r="I157" s="98" t="s">
        <v>1828</v>
      </c>
      <c r="J157" s="98"/>
      <c r="K157" s="97">
        <v>2</v>
      </c>
      <c r="L157" s="97">
        <v>1</v>
      </c>
      <c r="M157" s="97">
        <v>4</v>
      </c>
      <c r="N157" s="97">
        <v>7</v>
      </c>
      <c r="O157" s="97">
        <v>5</v>
      </c>
      <c r="P157" s="97">
        <v>3</v>
      </c>
      <c r="Q157" s="97">
        <v>6</v>
      </c>
      <c r="R157" s="98" t="s">
        <v>1172</v>
      </c>
      <c r="S157" s="98" t="s">
        <v>2237</v>
      </c>
    </row>
    <row r="158" spans="1:19" ht="15.75" customHeight="1">
      <c r="A158" s="44" t="b">
        <v>1</v>
      </c>
      <c r="B158" s="96" t="s">
        <v>939</v>
      </c>
      <c r="C158" s="43" t="s">
        <v>1650</v>
      </c>
      <c r="D158" s="98" t="s">
        <v>1650</v>
      </c>
      <c r="E158" s="98" t="s">
        <v>1798</v>
      </c>
      <c r="F158" s="98" t="s">
        <v>2238</v>
      </c>
      <c r="G158" s="98" t="s">
        <v>1172</v>
      </c>
      <c r="H158" s="98" t="s">
        <v>2239</v>
      </c>
      <c r="I158" s="98" t="s">
        <v>1804</v>
      </c>
      <c r="J158" s="98"/>
      <c r="K158" s="97">
        <v>2</v>
      </c>
      <c r="L158" s="97">
        <v>3</v>
      </c>
      <c r="M158" s="97">
        <v>1</v>
      </c>
      <c r="N158" s="97">
        <v>5</v>
      </c>
      <c r="O158" s="97">
        <v>7</v>
      </c>
      <c r="P158" s="97">
        <v>4</v>
      </c>
      <c r="Q158" s="97">
        <v>6</v>
      </c>
      <c r="R158" s="98" t="s">
        <v>1252</v>
      </c>
      <c r="S158" s="98" t="s">
        <v>2240</v>
      </c>
    </row>
    <row r="159" spans="1:19" ht="15.75" customHeight="1">
      <c r="A159" s="44" t="b">
        <v>1</v>
      </c>
      <c r="B159" s="96" t="s">
        <v>944</v>
      </c>
      <c r="C159" s="44" t="s">
        <v>1380</v>
      </c>
      <c r="D159" s="98" t="s">
        <v>1381</v>
      </c>
      <c r="E159" s="98" t="s">
        <v>1820</v>
      </c>
      <c r="F159" s="98" t="s">
        <v>1831</v>
      </c>
      <c r="G159" s="98" t="s">
        <v>2241</v>
      </c>
      <c r="H159" s="98" t="s">
        <v>1172</v>
      </c>
      <c r="I159" s="98" t="s">
        <v>1800</v>
      </c>
      <c r="J159" s="98" t="s">
        <v>1252</v>
      </c>
      <c r="K159" s="97">
        <v>3</v>
      </c>
      <c r="L159" s="97">
        <v>1</v>
      </c>
      <c r="M159" s="97">
        <v>2</v>
      </c>
      <c r="N159" s="97">
        <v>4</v>
      </c>
      <c r="O159" s="97">
        <v>7</v>
      </c>
      <c r="P159" s="97">
        <v>6</v>
      </c>
      <c r="Q159" s="97">
        <v>5</v>
      </c>
      <c r="R159" s="98" t="s">
        <v>1172</v>
      </c>
      <c r="S159" s="98" t="s">
        <v>1172</v>
      </c>
    </row>
    <row r="160" spans="1:19" ht="15.75" customHeight="1">
      <c r="A160" s="44" t="b">
        <v>1</v>
      </c>
      <c r="B160" s="96" t="s">
        <v>947</v>
      </c>
      <c r="C160" s="43" t="s">
        <v>1655</v>
      </c>
      <c r="D160" s="98" t="s">
        <v>2242</v>
      </c>
      <c r="E160" s="98" t="s">
        <v>1798</v>
      </c>
      <c r="F160" s="98" t="s">
        <v>2243</v>
      </c>
      <c r="G160" s="98" t="s">
        <v>1172</v>
      </c>
      <c r="H160" s="98" t="s">
        <v>2244</v>
      </c>
      <c r="I160" s="98" t="s">
        <v>1828</v>
      </c>
      <c r="J160" s="98"/>
      <c r="K160" s="97">
        <v>5</v>
      </c>
      <c r="L160" s="97">
        <v>1</v>
      </c>
      <c r="M160" s="97">
        <v>3</v>
      </c>
      <c r="N160" s="97">
        <v>7</v>
      </c>
      <c r="O160" s="97">
        <v>6</v>
      </c>
      <c r="P160" s="97">
        <v>4</v>
      </c>
      <c r="Q160" s="97">
        <v>2</v>
      </c>
      <c r="R160" s="98" t="s">
        <v>2033</v>
      </c>
      <c r="S160" s="98"/>
    </row>
    <row r="161" spans="1:19" ht="15.75" customHeight="1">
      <c r="A161" s="44" t="b">
        <v>1</v>
      </c>
      <c r="B161" s="96" t="s">
        <v>952</v>
      </c>
      <c r="C161" s="43" t="s">
        <v>1659</v>
      </c>
      <c r="D161" s="98" t="s">
        <v>1687</v>
      </c>
      <c r="E161" s="98" t="s">
        <v>1798</v>
      </c>
      <c r="F161" s="98" t="s">
        <v>2245</v>
      </c>
      <c r="G161" s="98" t="s">
        <v>2246</v>
      </c>
      <c r="H161" s="98" t="s">
        <v>2247</v>
      </c>
      <c r="I161" s="98" t="s">
        <v>1828</v>
      </c>
      <c r="J161" s="98"/>
      <c r="K161" s="97">
        <v>4</v>
      </c>
      <c r="L161" s="97">
        <v>2</v>
      </c>
      <c r="M161" s="97">
        <v>5</v>
      </c>
      <c r="N161" s="97">
        <v>1</v>
      </c>
      <c r="O161" s="97">
        <v>3</v>
      </c>
      <c r="P161" s="97">
        <v>6</v>
      </c>
      <c r="Q161" s="97">
        <v>7</v>
      </c>
      <c r="R161" s="98" t="s">
        <v>2248</v>
      </c>
      <c r="S161" s="98" t="s">
        <v>1172</v>
      </c>
    </row>
    <row r="162" spans="1:19" ht="15.75" customHeight="1">
      <c r="A162" s="44" t="b">
        <v>1</v>
      </c>
      <c r="B162" s="96" t="s">
        <v>955</v>
      </c>
      <c r="C162" s="44" t="s">
        <v>1661</v>
      </c>
      <c r="D162" s="98" t="s">
        <v>1691</v>
      </c>
      <c r="E162" s="98" t="s">
        <v>1834</v>
      </c>
      <c r="F162" s="98" t="s">
        <v>1252</v>
      </c>
      <c r="G162" s="98" t="s">
        <v>1252</v>
      </c>
      <c r="H162" s="98" t="s">
        <v>2249</v>
      </c>
      <c r="I162" s="98" t="s">
        <v>2012</v>
      </c>
      <c r="J162" s="98"/>
      <c r="K162" s="97">
        <v>5</v>
      </c>
      <c r="L162" s="97">
        <v>7</v>
      </c>
      <c r="M162" s="97">
        <v>6</v>
      </c>
      <c r="N162" s="97">
        <v>3</v>
      </c>
      <c r="O162" s="97">
        <v>2</v>
      </c>
      <c r="P162" s="97">
        <v>1</v>
      </c>
      <c r="Q162" s="97">
        <v>4</v>
      </c>
      <c r="R162" s="98" t="s">
        <v>1172</v>
      </c>
      <c r="S162" s="98" t="s">
        <v>1172</v>
      </c>
    </row>
    <row r="163" spans="1:19" ht="15.75" customHeight="1">
      <c r="A163" s="44" t="b">
        <v>1</v>
      </c>
      <c r="B163" s="96" t="s">
        <v>961</v>
      </c>
      <c r="C163" s="43" t="s">
        <v>1315</v>
      </c>
      <c r="D163" s="98" t="s">
        <v>1315</v>
      </c>
      <c r="E163" s="98" t="s">
        <v>1798</v>
      </c>
      <c r="F163" s="98" t="s">
        <v>2250</v>
      </c>
      <c r="G163" s="98" t="s">
        <v>1172</v>
      </c>
      <c r="H163" s="98" t="s">
        <v>1172</v>
      </c>
      <c r="I163" s="98" t="s">
        <v>1828</v>
      </c>
      <c r="J163" s="98"/>
      <c r="K163" s="97">
        <v>1</v>
      </c>
      <c r="L163" s="97">
        <v>3</v>
      </c>
      <c r="M163" s="97">
        <v>2</v>
      </c>
      <c r="N163" s="97">
        <v>4</v>
      </c>
      <c r="O163" s="97">
        <v>5</v>
      </c>
      <c r="P163" s="97">
        <v>7</v>
      </c>
      <c r="Q163" s="97">
        <v>6</v>
      </c>
      <c r="R163" s="98" t="s">
        <v>1252</v>
      </c>
      <c r="S163" s="98" t="s">
        <v>1252</v>
      </c>
    </row>
    <row r="164" spans="1:19" ht="15.75" customHeight="1">
      <c r="A164" s="44" t="b">
        <v>1</v>
      </c>
      <c r="B164" s="96" t="s">
        <v>966</v>
      </c>
      <c r="C164" s="44" t="s">
        <v>1664</v>
      </c>
      <c r="D164" s="98" t="s">
        <v>1695</v>
      </c>
      <c r="E164" s="98" t="s">
        <v>1798</v>
      </c>
      <c r="F164" s="98" t="s">
        <v>2251</v>
      </c>
      <c r="G164" s="98" t="s">
        <v>1172</v>
      </c>
      <c r="H164" s="98" t="s">
        <v>1172</v>
      </c>
      <c r="I164" s="98" t="s">
        <v>1814</v>
      </c>
      <c r="J164" s="98"/>
      <c r="K164" s="97">
        <v>3</v>
      </c>
      <c r="L164" s="97">
        <v>2</v>
      </c>
      <c r="M164" s="97">
        <v>4</v>
      </c>
      <c r="N164" s="97">
        <v>5</v>
      </c>
      <c r="O164" s="97">
        <v>1</v>
      </c>
      <c r="P164" s="97">
        <v>6</v>
      </c>
      <c r="Q164" s="97">
        <v>7</v>
      </c>
      <c r="R164" s="98" t="s">
        <v>1172</v>
      </c>
      <c r="S164" s="98" t="s">
        <v>2252</v>
      </c>
    </row>
    <row r="165" spans="1:19" ht="15.75" customHeight="1">
      <c r="A165" s="44" t="b">
        <v>1</v>
      </c>
      <c r="B165" s="96" t="s">
        <v>970</v>
      </c>
      <c r="C165" s="44" t="s">
        <v>1667</v>
      </c>
      <c r="D165" s="98" t="s">
        <v>1667</v>
      </c>
      <c r="E165" s="98" t="s">
        <v>1834</v>
      </c>
      <c r="F165" s="98" t="s">
        <v>1252</v>
      </c>
      <c r="G165" s="98" t="s">
        <v>1856</v>
      </c>
      <c r="H165" s="98" t="s">
        <v>1855</v>
      </c>
      <c r="I165" s="98" t="s">
        <v>1915</v>
      </c>
      <c r="J165" s="98"/>
      <c r="K165" s="97">
        <v>5</v>
      </c>
      <c r="L165" s="97">
        <v>1</v>
      </c>
      <c r="M165" s="97">
        <v>2</v>
      </c>
      <c r="N165" s="97">
        <v>6</v>
      </c>
      <c r="O165" s="97">
        <v>7</v>
      </c>
      <c r="P165" s="97">
        <v>4</v>
      </c>
      <c r="Q165" s="97">
        <v>3</v>
      </c>
      <c r="R165" s="98" t="s">
        <v>1172</v>
      </c>
      <c r="S165" s="98" t="s">
        <v>1172</v>
      </c>
    </row>
    <row r="166" spans="1:19" ht="15.75" customHeight="1">
      <c r="A166" s="44" t="b">
        <v>1</v>
      </c>
      <c r="B166" s="96" t="s">
        <v>973</v>
      </c>
      <c r="C166" s="44" t="s">
        <v>1668</v>
      </c>
      <c r="D166" s="98" t="s">
        <v>2253</v>
      </c>
      <c r="E166" s="98" t="s">
        <v>1798</v>
      </c>
      <c r="F166" s="98" t="s">
        <v>2254</v>
      </c>
      <c r="G166" s="98" t="s">
        <v>1172</v>
      </c>
      <c r="H166" s="98" t="s">
        <v>1172</v>
      </c>
      <c r="I166" s="98"/>
      <c r="J166" s="98"/>
      <c r="K166" s="97">
        <v>1</v>
      </c>
      <c r="L166" s="97">
        <v>5</v>
      </c>
      <c r="M166" s="97">
        <v>4</v>
      </c>
      <c r="N166" s="97">
        <v>2</v>
      </c>
      <c r="O166" s="97">
        <v>6</v>
      </c>
      <c r="P166" s="97">
        <v>3</v>
      </c>
      <c r="Q166" s="97">
        <v>7</v>
      </c>
      <c r="R166" s="98" t="s">
        <v>2255</v>
      </c>
      <c r="S166" s="98" t="s">
        <v>2256</v>
      </c>
    </row>
    <row r="167" spans="1:19" ht="15.75" customHeight="1">
      <c r="A167" s="44" t="b">
        <v>1</v>
      </c>
      <c r="B167" s="96" t="s">
        <v>978</v>
      </c>
      <c r="C167" s="44" t="s">
        <v>1670</v>
      </c>
      <c r="D167" s="98" t="s">
        <v>2257</v>
      </c>
      <c r="E167" s="98" t="s">
        <v>1798</v>
      </c>
      <c r="F167" s="98" t="s">
        <v>2258</v>
      </c>
      <c r="G167" s="98" t="s">
        <v>1172</v>
      </c>
      <c r="H167" s="98" t="s">
        <v>1172</v>
      </c>
      <c r="I167" s="98" t="s">
        <v>1804</v>
      </c>
      <c r="J167" s="98"/>
      <c r="K167" s="97">
        <v>6</v>
      </c>
      <c r="L167" s="97">
        <v>4</v>
      </c>
      <c r="M167" s="97">
        <v>3</v>
      </c>
      <c r="N167" s="97">
        <v>1</v>
      </c>
      <c r="O167" s="97">
        <v>2</v>
      </c>
      <c r="P167" s="97">
        <v>5</v>
      </c>
      <c r="Q167" s="97">
        <v>7</v>
      </c>
      <c r="R167" s="98" t="s">
        <v>1252</v>
      </c>
      <c r="S167" s="98" t="s">
        <v>1252</v>
      </c>
    </row>
    <row r="168" spans="1:19" ht="15.75" customHeight="1">
      <c r="A168" s="44" t="b">
        <v>1</v>
      </c>
      <c r="B168" s="96" t="s">
        <v>983</v>
      </c>
      <c r="C168" s="44" t="s">
        <v>1672</v>
      </c>
      <c r="D168" s="98" t="s">
        <v>1672</v>
      </c>
      <c r="E168" s="98" t="s">
        <v>1834</v>
      </c>
      <c r="F168" s="98" t="s">
        <v>1320</v>
      </c>
      <c r="G168" s="98" t="s">
        <v>1172</v>
      </c>
      <c r="H168" s="98" t="s">
        <v>1172</v>
      </c>
      <c r="I168" s="98" t="s">
        <v>1817</v>
      </c>
      <c r="J168" s="98" t="s">
        <v>2259</v>
      </c>
      <c r="K168" s="97">
        <v>2</v>
      </c>
      <c r="L168" s="97">
        <v>4</v>
      </c>
      <c r="M168" s="97">
        <v>3</v>
      </c>
      <c r="N168" s="97">
        <v>1</v>
      </c>
      <c r="O168" s="97">
        <v>5</v>
      </c>
      <c r="P168" s="97">
        <v>7</v>
      </c>
      <c r="Q168" s="97">
        <v>6</v>
      </c>
      <c r="R168" s="98" t="s">
        <v>1172</v>
      </c>
      <c r="S168" s="98" t="s">
        <v>1172</v>
      </c>
    </row>
    <row r="169" spans="1:19" ht="15.75" customHeight="1">
      <c r="A169" s="44" t="b">
        <v>1</v>
      </c>
      <c r="B169" s="96" t="s">
        <v>986</v>
      </c>
      <c r="C169" s="44" t="s">
        <v>1675</v>
      </c>
      <c r="D169" s="98" t="s">
        <v>1708</v>
      </c>
      <c r="E169" s="98" t="s">
        <v>1798</v>
      </c>
      <c r="F169" s="98" t="s">
        <v>2260</v>
      </c>
      <c r="G169" s="98" t="s">
        <v>2261</v>
      </c>
      <c r="H169" s="98" t="s">
        <v>2106</v>
      </c>
      <c r="I169" s="98" t="s">
        <v>2262</v>
      </c>
      <c r="J169" s="98" t="s">
        <v>2263</v>
      </c>
      <c r="K169" s="97">
        <v>4</v>
      </c>
      <c r="L169" s="97">
        <v>5</v>
      </c>
      <c r="M169" s="97">
        <v>2</v>
      </c>
      <c r="N169" s="97">
        <v>6</v>
      </c>
      <c r="O169" s="97">
        <v>7</v>
      </c>
      <c r="P169" s="97">
        <v>1</v>
      </c>
      <c r="Q169" s="97">
        <v>3</v>
      </c>
      <c r="R169" s="98" t="s">
        <v>2264</v>
      </c>
      <c r="S169" s="98" t="s">
        <v>2265</v>
      </c>
    </row>
    <row r="170" spans="1:19" ht="15.75" customHeight="1">
      <c r="A170" s="44" t="b">
        <v>1</v>
      </c>
      <c r="B170" s="96" t="s">
        <v>990</v>
      </c>
      <c r="C170" s="43" t="s">
        <v>1676</v>
      </c>
      <c r="D170" s="98" t="s">
        <v>1676</v>
      </c>
      <c r="E170" s="98" t="s">
        <v>1798</v>
      </c>
      <c r="F170" s="98" t="s">
        <v>2266</v>
      </c>
      <c r="G170" s="98" t="s">
        <v>1172</v>
      </c>
      <c r="H170" s="98" t="s">
        <v>1807</v>
      </c>
      <c r="I170" s="98" t="s">
        <v>1800</v>
      </c>
      <c r="J170" s="98" t="s">
        <v>2267</v>
      </c>
      <c r="K170" s="97">
        <v>4</v>
      </c>
      <c r="L170" s="97">
        <v>1</v>
      </c>
      <c r="M170" s="97">
        <v>5</v>
      </c>
      <c r="N170" s="97">
        <v>6</v>
      </c>
      <c r="O170" s="97">
        <v>7</v>
      </c>
      <c r="P170" s="97">
        <v>2</v>
      </c>
      <c r="Q170" s="97">
        <v>3</v>
      </c>
      <c r="R170" s="98" t="s">
        <v>1172</v>
      </c>
      <c r="S170" s="98" t="s">
        <v>1172</v>
      </c>
    </row>
    <row r="171" spans="1:19" ht="15.75" customHeight="1">
      <c r="A171" s="44" t="b">
        <v>1</v>
      </c>
      <c r="B171" s="96" t="s">
        <v>993</v>
      </c>
      <c r="C171" s="44" t="s">
        <v>1679</v>
      </c>
      <c r="D171" s="98" t="s">
        <v>1679</v>
      </c>
      <c r="E171" s="98" t="s">
        <v>1798</v>
      </c>
      <c r="F171" s="98" t="s">
        <v>2268</v>
      </c>
      <c r="G171" s="98" t="s">
        <v>1172</v>
      </c>
      <c r="H171" s="98" t="s">
        <v>1172</v>
      </c>
      <c r="I171" s="98" t="s">
        <v>1915</v>
      </c>
      <c r="J171" s="98"/>
      <c r="K171" s="97">
        <v>2</v>
      </c>
      <c r="L171" s="97">
        <v>1</v>
      </c>
      <c r="M171" s="97">
        <v>3</v>
      </c>
      <c r="N171" s="97">
        <v>4</v>
      </c>
      <c r="O171" s="97">
        <v>7</v>
      </c>
      <c r="P171" s="97">
        <v>6</v>
      </c>
      <c r="Q171" s="97">
        <v>5</v>
      </c>
      <c r="R171" s="98" t="s">
        <v>2269</v>
      </c>
      <c r="S171" s="98"/>
    </row>
    <row r="172" spans="1:19" ht="15.75" customHeight="1">
      <c r="A172" s="44" t="b">
        <v>1</v>
      </c>
      <c r="B172" s="96" t="s">
        <v>997</v>
      </c>
      <c r="C172" s="43" t="s">
        <v>1681</v>
      </c>
      <c r="D172" s="98" t="s">
        <v>2270</v>
      </c>
      <c r="E172" s="98" t="s">
        <v>1798</v>
      </c>
      <c r="F172" s="98" t="s">
        <v>2271</v>
      </c>
      <c r="G172" s="98" t="s">
        <v>2272</v>
      </c>
      <c r="H172" s="98" t="s">
        <v>2171</v>
      </c>
      <c r="I172" s="98" t="s">
        <v>1828</v>
      </c>
      <c r="J172" s="98"/>
      <c r="K172" s="97">
        <v>1</v>
      </c>
      <c r="L172" s="97">
        <v>2</v>
      </c>
      <c r="M172" s="97">
        <v>6</v>
      </c>
      <c r="N172" s="97">
        <v>4</v>
      </c>
      <c r="O172" s="97">
        <v>3</v>
      </c>
      <c r="P172" s="97">
        <v>5</v>
      </c>
      <c r="Q172" s="97">
        <v>7</v>
      </c>
      <c r="R172" s="98" t="s">
        <v>1320</v>
      </c>
      <c r="S172" s="98" t="s">
        <v>2273</v>
      </c>
    </row>
    <row r="173" spans="1:19" ht="15.75" customHeight="1">
      <c r="A173" s="44" t="b">
        <v>1</v>
      </c>
      <c r="B173" s="96" t="s">
        <v>1000</v>
      </c>
      <c r="C173" s="43" t="s">
        <v>1683</v>
      </c>
      <c r="D173" s="98" t="s">
        <v>1719</v>
      </c>
      <c r="E173" s="98" t="s">
        <v>1798</v>
      </c>
      <c r="F173" s="98" t="s">
        <v>1172</v>
      </c>
      <c r="G173" s="98" t="s">
        <v>1172</v>
      </c>
      <c r="H173" s="98" t="s">
        <v>1172</v>
      </c>
      <c r="I173" s="98" t="s">
        <v>1814</v>
      </c>
      <c r="J173" s="98"/>
      <c r="K173" s="97">
        <v>2</v>
      </c>
      <c r="L173" s="97">
        <v>1</v>
      </c>
      <c r="M173" s="97">
        <v>4</v>
      </c>
      <c r="N173" s="97">
        <v>3</v>
      </c>
      <c r="O173" s="97">
        <v>5</v>
      </c>
      <c r="P173" s="97">
        <v>6</v>
      </c>
      <c r="Q173" s="97">
        <v>7</v>
      </c>
      <c r="R173" s="98" t="s">
        <v>2106</v>
      </c>
      <c r="S173" s="98" t="s">
        <v>2106</v>
      </c>
    </row>
    <row r="174" spans="1:19" ht="15.75" customHeight="1">
      <c r="A174" s="44" t="b">
        <v>1</v>
      </c>
      <c r="B174" s="96" t="s">
        <v>1004</v>
      </c>
      <c r="C174" s="44" t="s">
        <v>1686</v>
      </c>
      <c r="D174" s="98" t="s">
        <v>1686</v>
      </c>
      <c r="E174" s="98" t="s">
        <v>1798</v>
      </c>
      <c r="F174" s="98" t="s">
        <v>2274</v>
      </c>
      <c r="G174" s="98" t="s">
        <v>1172</v>
      </c>
      <c r="H174" s="98" t="s">
        <v>1172</v>
      </c>
      <c r="I174" s="98" t="s">
        <v>1828</v>
      </c>
      <c r="J174" s="98"/>
      <c r="K174" s="97">
        <v>4</v>
      </c>
      <c r="L174" s="97">
        <v>1</v>
      </c>
      <c r="M174" s="97">
        <v>5</v>
      </c>
      <c r="N174" s="97">
        <v>2</v>
      </c>
      <c r="O174" s="97">
        <v>3</v>
      </c>
      <c r="P174" s="97">
        <v>6</v>
      </c>
      <c r="Q174" s="97">
        <v>7</v>
      </c>
      <c r="R174" s="98" t="s">
        <v>1172</v>
      </c>
      <c r="S174" s="98" t="s">
        <v>1172</v>
      </c>
    </row>
    <row r="175" spans="1:19" ht="15.75" customHeight="1">
      <c r="A175" s="44" t="b">
        <v>1</v>
      </c>
      <c r="B175" s="96" t="s">
        <v>1007</v>
      </c>
      <c r="C175" s="44" t="s">
        <v>1690</v>
      </c>
      <c r="D175" s="98" t="s">
        <v>1690</v>
      </c>
      <c r="E175" s="98" t="s">
        <v>1820</v>
      </c>
      <c r="F175" s="98" t="s">
        <v>2275</v>
      </c>
      <c r="G175" s="98" t="s">
        <v>1172</v>
      </c>
      <c r="H175" s="98" t="s">
        <v>2106</v>
      </c>
      <c r="I175" s="98" t="s">
        <v>1804</v>
      </c>
      <c r="J175" s="98"/>
      <c r="K175" s="97">
        <v>7</v>
      </c>
      <c r="L175" s="97">
        <v>2</v>
      </c>
      <c r="M175" s="97">
        <v>5</v>
      </c>
      <c r="N175" s="97">
        <v>3</v>
      </c>
      <c r="O175" s="97">
        <v>1</v>
      </c>
      <c r="P175" s="97">
        <v>4</v>
      </c>
      <c r="Q175" s="97">
        <v>6</v>
      </c>
      <c r="R175" s="98" t="s">
        <v>1172</v>
      </c>
      <c r="S175" s="98" t="s">
        <v>2276</v>
      </c>
    </row>
    <row r="176" spans="1:19" ht="15.75" customHeight="1">
      <c r="A176" s="44" t="b">
        <v>1</v>
      </c>
      <c r="B176" s="96" t="s">
        <v>1010</v>
      </c>
      <c r="C176" s="44" t="s">
        <v>1317</v>
      </c>
      <c r="D176" s="98" t="s">
        <v>1317</v>
      </c>
      <c r="E176" s="98" t="s">
        <v>1820</v>
      </c>
      <c r="F176" s="98" t="s">
        <v>2277</v>
      </c>
      <c r="G176" s="98" t="s">
        <v>1844</v>
      </c>
      <c r="H176" s="98" t="s">
        <v>2278</v>
      </c>
      <c r="I176" s="98" t="s">
        <v>1804</v>
      </c>
      <c r="J176" s="98"/>
      <c r="K176" s="97">
        <v>1</v>
      </c>
      <c r="L176" s="97">
        <v>3</v>
      </c>
      <c r="M176" s="97">
        <v>2</v>
      </c>
      <c r="N176" s="97">
        <v>4</v>
      </c>
      <c r="O176" s="97">
        <v>6</v>
      </c>
      <c r="P176" s="97">
        <v>5</v>
      </c>
      <c r="Q176" s="97">
        <v>7</v>
      </c>
      <c r="R176" s="98"/>
      <c r="S176" s="98" t="s">
        <v>2279</v>
      </c>
    </row>
    <row r="177" spans="1:19" ht="15.75" customHeight="1">
      <c r="A177" s="44" t="b">
        <v>1</v>
      </c>
      <c r="B177" s="96" t="s">
        <v>1014</v>
      </c>
      <c r="C177" s="44" t="s">
        <v>1697</v>
      </c>
      <c r="D177" s="98" t="s">
        <v>1728</v>
      </c>
      <c r="E177" s="98" t="s">
        <v>1798</v>
      </c>
      <c r="F177" s="98" t="s">
        <v>2280</v>
      </c>
      <c r="G177" s="98" t="s">
        <v>1172</v>
      </c>
      <c r="H177" s="98" t="s">
        <v>2281</v>
      </c>
      <c r="I177" s="98" t="s">
        <v>1800</v>
      </c>
      <c r="J177" s="98" t="s">
        <v>2282</v>
      </c>
      <c r="K177" s="97">
        <v>1</v>
      </c>
      <c r="L177" s="97">
        <v>2</v>
      </c>
      <c r="M177" s="97">
        <v>5</v>
      </c>
      <c r="N177" s="97">
        <v>4</v>
      </c>
      <c r="O177" s="97">
        <v>6</v>
      </c>
      <c r="P177" s="97">
        <v>7</v>
      </c>
      <c r="Q177" s="97">
        <v>3</v>
      </c>
      <c r="R177" s="98" t="s">
        <v>1172</v>
      </c>
      <c r="S177" s="98" t="s">
        <v>2283</v>
      </c>
    </row>
    <row r="178" spans="1:19" ht="15.75" customHeight="1">
      <c r="A178" s="44" t="b">
        <v>1</v>
      </c>
      <c r="B178" s="96" t="s">
        <v>1017</v>
      </c>
      <c r="C178" s="44" t="s">
        <v>1321</v>
      </c>
      <c r="D178" s="98" t="s">
        <v>1322</v>
      </c>
      <c r="E178" s="98" t="s">
        <v>1820</v>
      </c>
      <c r="F178" s="98" t="s">
        <v>2284</v>
      </c>
      <c r="G178" s="98" t="s">
        <v>1172</v>
      </c>
      <c r="H178" s="98" t="s">
        <v>1172</v>
      </c>
      <c r="I178" s="98" t="s">
        <v>1814</v>
      </c>
      <c r="J178" s="98"/>
      <c r="K178" s="97">
        <v>5</v>
      </c>
      <c r="L178" s="97">
        <v>1</v>
      </c>
      <c r="M178" s="97">
        <v>2</v>
      </c>
      <c r="N178" s="97">
        <v>6</v>
      </c>
      <c r="O178" s="97">
        <v>4</v>
      </c>
      <c r="P178" s="97">
        <v>7</v>
      </c>
      <c r="Q178" s="97">
        <v>3</v>
      </c>
      <c r="R178" s="98" t="s">
        <v>1172</v>
      </c>
      <c r="S178" s="98" t="s">
        <v>2285</v>
      </c>
    </row>
    <row r="179" spans="1:19" ht="15.75" customHeight="1">
      <c r="A179" s="44" t="b">
        <v>1</v>
      </c>
      <c r="B179" s="96" t="s">
        <v>1019</v>
      </c>
      <c r="C179" s="44" t="s">
        <v>1702</v>
      </c>
      <c r="D179" s="98" t="s">
        <v>1702</v>
      </c>
      <c r="E179" s="98" t="s">
        <v>1798</v>
      </c>
      <c r="F179" s="98" t="s">
        <v>2286</v>
      </c>
      <c r="G179" s="98" t="s">
        <v>1172</v>
      </c>
      <c r="H179" s="98" t="s">
        <v>1172</v>
      </c>
      <c r="I179" s="98" t="s">
        <v>1800</v>
      </c>
      <c r="J179" s="98" t="s">
        <v>2287</v>
      </c>
      <c r="K179" s="97">
        <v>3</v>
      </c>
      <c r="L179" s="97">
        <v>4</v>
      </c>
      <c r="M179" s="97">
        <v>5</v>
      </c>
      <c r="N179" s="97">
        <v>1</v>
      </c>
      <c r="O179" s="97">
        <v>2</v>
      </c>
      <c r="P179" s="97">
        <v>7</v>
      </c>
      <c r="Q179" s="97">
        <v>6</v>
      </c>
      <c r="R179" s="98" t="s">
        <v>1896</v>
      </c>
      <c r="S179" s="98" t="s">
        <v>2288</v>
      </c>
    </row>
    <row r="180" spans="1:19" ht="15.75" customHeight="1">
      <c r="A180" s="44" t="b">
        <v>1</v>
      </c>
      <c r="B180" s="96" t="s">
        <v>1023</v>
      </c>
      <c r="C180" s="44" t="s">
        <v>1705</v>
      </c>
      <c r="D180" s="98" t="s">
        <v>2289</v>
      </c>
      <c r="E180" s="98" t="s">
        <v>1834</v>
      </c>
      <c r="F180" s="98" t="s">
        <v>1252</v>
      </c>
      <c r="G180" s="98" t="s">
        <v>1172</v>
      </c>
      <c r="H180" s="98" t="s">
        <v>1172</v>
      </c>
      <c r="I180" s="98" t="s">
        <v>1828</v>
      </c>
      <c r="J180" s="98"/>
      <c r="K180" s="97">
        <v>1</v>
      </c>
      <c r="L180" s="97">
        <v>4</v>
      </c>
      <c r="M180" s="97">
        <v>3</v>
      </c>
      <c r="N180" s="97">
        <v>2</v>
      </c>
      <c r="O180" s="97">
        <v>5</v>
      </c>
      <c r="P180" s="97">
        <v>6</v>
      </c>
      <c r="Q180" s="97">
        <v>7</v>
      </c>
      <c r="R180" s="98" t="s">
        <v>1252</v>
      </c>
      <c r="S180" s="98" t="s">
        <v>2290</v>
      </c>
    </row>
    <row r="181" spans="1:19" ht="15.75" customHeight="1">
      <c r="A181" s="44" t="b">
        <v>1</v>
      </c>
      <c r="B181" s="96" t="s">
        <v>1027</v>
      </c>
      <c r="C181" s="44" t="s">
        <v>1707</v>
      </c>
      <c r="D181" s="98" t="s">
        <v>1707</v>
      </c>
      <c r="E181" s="98" t="s">
        <v>1798</v>
      </c>
      <c r="F181" s="98" t="s">
        <v>2291</v>
      </c>
      <c r="G181" s="98" t="s">
        <v>1172</v>
      </c>
      <c r="H181" s="98" t="s">
        <v>1172</v>
      </c>
      <c r="I181" s="98" t="s">
        <v>2012</v>
      </c>
      <c r="J181" s="98"/>
      <c r="K181" s="97">
        <v>1</v>
      </c>
      <c r="L181" s="97">
        <v>3</v>
      </c>
      <c r="M181" s="97">
        <v>7</v>
      </c>
      <c r="N181" s="97">
        <v>4</v>
      </c>
      <c r="O181" s="97">
        <v>2</v>
      </c>
      <c r="P181" s="97">
        <v>6</v>
      </c>
      <c r="Q181" s="97">
        <v>5</v>
      </c>
      <c r="R181" s="98" t="s">
        <v>2292</v>
      </c>
      <c r="S181" s="98" t="s">
        <v>1172</v>
      </c>
    </row>
    <row r="182" spans="1:19" ht="15.75" customHeight="1">
      <c r="A182" s="44" t="b">
        <v>1</v>
      </c>
      <c r="B182" s="96" t="s">
        <v>1030</v>
      </c>
      <c r="C182" s="43" t="s">
        <v>1711</v>
      </c>
      <c r="D182" s="98" t="s">
        <v>2293</v>
      </c>
      <c r="E182" s="98" t="s">
        <v>1798</v>
      </c>
      <c r="F182" s="98" t="s">
        <v>2294</v>
      </c>
      <c r="G182" s="98" t="s">
        <v>1856</v>
      </c>
      <c r="H182" s="98" t="s">
        <v>2295</v>
      </c>
      <c r="I182" s="98" t="s">
        <v>1967</v>
      </c>
      <c r="J182" s="98" t="s">
        <v>2296</v>
      </c>
      <c r="K182" s="97">
        <v>1</v>
      </c>
      <c r="L182" s="97">
        <v>5</v>
      </c>
      <c r="M182" s="97">
        <v>3</v>
      </c>
      <c r="N182" s="97">
        <v>6</v>
      </c>
      <c r="O182" s="97">
        <v>2</v>
      </c>
      <c r="P182" s="97">
        <v>7</v>
      </c>
      <c r="Q182" s="97">
        <v>4</v>
      </c>
      <c r="R182" s="98" t="s">
        <v>1252</v>
      </c>
      <c r="S182" s="98" t="s">
        <v>2297</v>
      </c>
    </row>
    <row r="183" spans="1:19" ht="15.75" customHeight="1">
      <c r="A183" s="44" t="b">
        <v>1</v>
      </c>
      <c r="B183" s="96" t="s">
        <v>1033</v>
      </c>
      <c r="C183" s="43" t="s">
        <v>1324</v>
      </c>
      <c r="D183" s="98" t="s">
        <v>2298</v>
      </c>
      <c r="E183" s="98" t="s">
        <v>1798</v>
      </c>
      <c r="F183" s="98" t="s">
        <v>2299</v>
      </c>
      <c r="G183" s="98" t="s">
        <v>1871</v>
      </c>
      <c r="H183" s="98" t="s">
        <v>1871</v>
      </c>
      <c r="I183" s="98" t="s">
        <v>2012</v>
      </c>
      <c r="J183" s="98"/>
      <c r="K183" s="97">
        <v>2</v>
      </c>
      <c r="L183" s="97">
        <v>5</v>
      </c>
      <c r="M183" s="97">
        <v>1</v>
      </c>
      <c r="N183" s="97">
        <v>3</v>
      </c>
      <c r="O183" s="97">
        <v>6</v>
      </c>
      <c r="P183" s="97">
        <v>7</v>
      </c>
      <c r="Q183" s="97">
        <v>4</v>
      </c>
      <c r="R183" s="98" t="s">
        <v>2300</v>
      </c>
      <c r="S183" s="98" t="s">
        <v>2301</v>
      </c>
    </row>
    <row r="184" spans="1:19" ht="15.75" customHeight="1">
      <c r="A184" s="44" t="b">
        <v>1</v>
      </c>
      <c r="B184" s="96" t="s">
        <v>1036</v>
      </c>
      <c r="C184" s="43" t="s">
        <v>1714</v>
      </c>
      <c r="D184" s="98" t="s">
        <v>1714</v>
      </c>
      <c r="E184" s="98" t="s">
        <v>1820</v>
      </c>
      <c r="F184" s="98" t="s">
        <v>2302</v>
      </c>
      <c r="G184" s="98" t="s">
        <v>1172</v>
      </c>
      <c r="H184" s="98" t="s">
        <v>1172</v>
      </c>
      <c r="I184" s="98"/>
      <c r="J184" s="98"/>
      <c r="K184" s="97">
        <v>1</v>
      </c>
      <c r="L184" s="97">
        <v>2</v>
      </c>
      <c r="M184" s="97">
        <v>4</v>
      </c>
      <c r="N184" s="97">
        <v>7</v>
      </c>
      <c r="O184" s="97">
        <v>3</v>
      </c>
      <c r="P184" s="97">
        <v>5</v>
      </c>
      <c r="Q184" s="97">
        <v>6</v>
      </c>
      <c r="R184" s="98" t="s">
        <v>1172</v>
      </c>
      <c r="S184" s="98" t="s">
        <v>1172</v>
      </c>
    </row>
    <row r="185" spans="1:19" ht="15.75" customHeight="1">
      <c r="A185" s="44" t="b">
        <v>1</v>
      </c>
      <c r="B185" s="96" t="s">
        <v>1039</v>
      </c>
      <c r="C185" s="43" t="s">
        <v>1718</v>
      </c>
      <c r="D185" s="98" t="s">
        <v>2303</v>
      </c>
      <c r="E185" s="98" t="s">
        <v>1798</v>
      </c>
      <c r="F185" s="98" t="s">
        <v>2304</v>
      </c>
      <c r="G185" s="98" t="s">
        <v>1172</v>
      </c>
      <c r="H185" s="98" t="s">
        <v>1172</v>
      </c>
      <c r="I185" s="98" t="s">
        <v>1814</v>
      </c>
      <c r="J185" s="98"/>
      <c r="K185" s="97">
        <v>1</v>
      </c>
      <c r="L185" s="97">
        <v>2</v>
      </c>
      <c r="M185" s="97">
        <v>4</v>
      </c>
      <c r="N185" s="97">
        <v>6</v>
      </c>
      <c r="O185" s="97">
        <v>7</v>
      </c>
      <c r="P185" s="97">
        <v>3</v>
      </c>
      <c r="Q185" s="97">
        <v>5</v>
      </c>
      <c r="R185" s="98" t="s">
        <v>1172</v>
      </c>
      <c r="S185" s="98" t="s">
        <v>2305</v>
      </c>
    </row>
    <row r="186" spans="1:19" ht="15.75" customHeight="1">
      <c r="A186" s="44" t="b">
        <v>1</v>
      </c>
      <c r="B186" s="96" t="s">
        <v>1041</v>
      </c>
      <c r="C186" s="44" t="s">
        <v>1723</v>
      </c>
      <c r="D186" s="98" t="s">
        <v>1723</v>
      </c>
      <c r="E186" s="98" t="s">
        <v>1798</v>
      </c>
      <c r="F186" s="98" t="s">
        <v>2306</v>
      </c>
      <c r="G186" s="98" t="s">
        <v>1172</v>
      </c>
      <c r="H186" s="98" t="s">
        <v>1172</v>
      </c>
      <c r="I186" s="98" t="s">
        <v>1857</v>
      </c>
      <c r="J186" s="98" t="s">
        <v>2307</v>
      </c>
      <c r="K186" s="97">
        <v>3</v>
      </c>
      <c r="L186" s="97">
        <v>6</v>
      </c>
      <c r="M186" s="97">
        <v>2</v>
      </c>
      <c r="N186" s="97">
        <v>4</v>
      </c>
      <c r="O186" s="97">
        <v>1</v>
      </c>
      <c r="P186" s="97">
        <v>7</v>
      </c>
      <c r="Q186" s="97">
        <v>5</v>
      </c>
      <c r="R186" s="98" t="s">
        <v>2308</v>
      </c>
      <c r="S186" s="98" t="s">
        <v>2309</v>
      </c>
    </row>
    <row r="187" spans="1:19" ht="15.75" customHeight="1">
      <c r="A187" s="44" t="b">
        <v>1</v>
      </c>
      <c r="B187" s="96" t="s">
        <v>1047</v>
      </c>
      <c r="C187" s="44" t="s">
        <v>1724</v>
      </c>
      <c r="D187" s="98" t="s">
        <v>1724</v>
      </c>
      <c r="E187" s="98" t="s">
        <v>1798</v>
      </c>
      <c r="F187" s="98" t="s">
        <v>2310</v>
      </c>
      <c r="G187" s="98" t="s">
        <v>1172</v>
      </c>
      <c r="H187" s="98" t="s">
        <v>1172</v>
      </c>
      <c r="I187" s="98" t="s">
        <v>1800</v>
      </c>
      <c r="J187" s="98" t="s">
        <v>2311</v>
      </c>
      <c r="K187" s="97">
        <v>7</v>
      </c>
      <c r="L187" s="97">
        <v>3</v>
      </c>
      <c r="M187" s="97">
        <v>1</v>
      </c>
      <c r="N187" s="97">
        <v>2</v>
      </c>
      <c r="O187" s="97">
        <v>4</v>
      </c>
      <c r="P187" s="97">
        <v>6</v>
      </c>
      <c r="Q187" s="97">
        <v>5</v>
      </c>
      <c r="R187" s="98" t="s">
        <v>1172</v>
      </c>
      <c r="S187" s="98" t="s">
        <v>2312</v>
      </c>
    </row>
    <row r="188" spans="1:19" ht="15.75" customHeight="1">
      <c r="A188" s="44" t="b">
        <v>1</v>
      </c>
      <c r="B188" s="96" t="s">
        <v>1051</v>
      </c>
      <c r="C188" s="44" t="s">
        <v>1727</v>
      </c>
      <c r="D188" s="98" t="s">
        <v>1727</v>
      </c>
      <c r="E188" s="98" t="s">
        <v>1798</v>
      </c>
      <c r="F188" s="98" t="s">
        <v>2313</v>
      </c>
      <c r="G188" s="98" t="s">
        <v>2314</v>
      </c>
      <c r="H188" s="98" t="s">
        <v>2314</v>
      </c>
      <c r="I188" s="98" t="s">
        <v>1800</v>
      </c>
      <c r="J188" s="98" t="s">
        <v>2315</v>
      </c>
      <c r="K188" s="97">
        <v>4</v>
      </c>
      <c r="L188" s="97">
        <v>6</v>
      </c>
      <c r="M188" s="97">
        <v>1</v>
      </c>
      <c r="N188" s="97">
        <v>2</v>
      </c>
      <c r="O188" s="97">
        <v>5</v>
      </c>
      <c r="P188" s="97">
        <v>3</v>
      </c>
      <c r="Q188" s="97">
        <v>7</v>
      </c>
      <c r="R188" s="98"/>
      <c r="S188" s="98"/>
    </row>
    <row r="189" spans="1:19" ht="15.75" customHeight="1">
      <c r="A189" s="44" t="b">
        <v>1</v>
      </c>
      <c r="B189" s="96" t="s">
        <v>1055</v>
      </c>
      <c r="C189" s="44" t="s">
        <v>1731</v>
      </c>
      <c r="D189" s="98" t="s">
        <v>1731</v>
      </c>
      <c r="E189" s="98" t="s">
        <v>1798</v>
      </c>
      <c r="F189" s="98" t="s">
        <v>2316</v>
      </c>
      <c r="G189" s="98" t="s">
        <v>2317</v>
      </c>
      <c r="H189" s="98" t="s">
        <v>2318</v>
      </c>
      <c r="I189" s="98" t="s">
        <v>1800</v>
      </c>
      <c r="J189" s="98" t="s">
        <v>2319</v>
      </c>
      <c r="K189" s="97">
        <v>1</v>
      </c>
      <c r="L189" s="97">
        <v>2</v>
      </c>
      <c r="M189" s="97">
        <v>3</v>
      </c>
      <c r="N189" s="97">
        <v>5</v>
      </c>
      <c r="O189" s="97">
        <v>6</v>
      </c>
      <c r="P189" s="97">
        <v>4</v>
      </c>
      <c r="Q189" s="97">
        <v>7</v>
      </c>
      <c r="R189" s="98" t="s">
        <v>2320</v>
      </c>
      <c r="S189" s="98" t="s">
        <v>2321</v>
      </c>
    </row>
    <row r="190" spans="1:19" ht="15.75" customHeight="1">
      <c r="A190" s="44" t="b">
        <v>1</v>
      </c>
      <c r="B190" s="96" t="s">
        <v>1058</v>
      </c>
      <c r="C190" s="44" t="s">
        <v>1735</v>
      </c>
      <c r="D190" s="98" t="s">
        <v>1735</v>
      </c>
      <c r="E190" s="98" t="s">
        <v>1798</v>
      </c>
      <c r="F190" s="98" t="s">
        <v>2322</v>
      </c>
      <c r="G190" s="98" t="s">
        <v>1172</v>
      </c>
      <c r="H190" s="98" t="s">
        <v>1172</v>
      </c>
      <c r="I190" s="98" t="s">
        <v>1857</v>
      </c>
      <c r="J190" s="98" t="s">
        <v>2323</v>
      </c>
      <c r="K190" s="97">
        <v>1</v>
      </c>
      <c r="L190" s="97">
        <v>2</v>
      </c>
      <c r="M190" s="97">
        <v>3</v>
      </c>
      <c r="N190" s="97">
        <v>7</v>
      </c>
      <c r="O190" s="97">
        <v>6</v>
      </c>
      <c r="P190" s="97">
        <v>4</v>
      </c>
      <c r="Q190" s="97">
        <v>5</v>
      </c>
      <c r="R190" s="98" t="s">
        <v>2324</v>
      </c>
      <c r="S190" s="98" t="s">
        <v>2325</v>
      </c>
    </row>
    <row r="191" spans="1:19" ht="15.75" customHeight="1">
      <c r="A191" s="44" t="b">
        <v>1</v>
      </c>
      <c r="B191" s="96" t="s">
        <v>1061</v>
      </c>
      <c r="C191" s="44" t="s">
        <v>1737</v>
      </c>
      <c r="D191" s="98" t="s">
        <v>2326</v>
      </c>
      <c r="E191" s="98" t="s">
        <v>1834</v>
      </c>
      <c r="F191" s="98" t="s">
        <v>2327</v>
      </c>
      <c r="G191" s="98" t="s">
        <v>1172</v>
      </c>
      <c r="H191" s="98" t="s">
        <v>1172</v>
      </c>
      <c r="I191" s="98" t="s">
        <v>1800</v>
      </c>
      <c r="J191" s="98" t="s">
        <v>2328</v>
      </c>
      <c r="K191" s="97">
        <v>6</v>
      </c>
      <c r="L191" s="97">
        <v>3</v>
      </c>
      <c r="M191" s="97">
        <v>1</v>
      </c>
      <c r="N191" s="97">
        <v>7</v>
      </c>
      <c r="O191" s="97">
        <v>2</v>
      </c>
      <c r="P191" s="97">
        <v>4</v>
      </c>
      <c r="Q191" s="97">
        <v>5</v>
      </c>
      <c r="R191" s="98" t="s">
        <v>1172</v>
      </c>
      <c r="S191" s="98" t="s">
        <v>1172</v>
      </c>
    </row>
    <row r="192" spans="1:19" ht="15.75" customHeight="1">
      <c r="A192" s="44" t="b">
        <v>1</v>
      </c>
      <c r="B192" s="96" t="s">
        <v>1065</v>
      </c>
      <c r="C192" s="44" t="s">
        <v>1328</v>
      </c>
      <c r="D192" s="98" t="s">
        <v>2329</v>
      </c>
      <c r="E192" s="98" t="s">
        <v>1820</v>
      </c>
      <c r="F192" s="98" t="s">
        <v>2330</v>
      </c>
      <c r="G192" s="98" t="s">
        <v>1172</v>
      </c>
      <c r="H192" s="98" t="s">
        <v>1172</v>
      </c>
      <c r="I192" s="98" t="s">
        <v>1857</v>
      </c>
      <c r="J192" s="98" t="s">
        <v>2331</v>
      </c>
      <c r="K192" s="97">
        <v>6</v>
      </c>
      <c r="L192" s="97">
        <v>7</v>
      </c>
      <c r="M192" s="97">
        <v>5</v>
      </c>
      <c r="N192" s="97">
        <v>3</v>
      </c>
      <c r="O192" s="97">
        <v>2</v>
      </c>
      <c r="P192" s="97">
        <v>1</v>
      </c>
      <c r="Q192" s="97">
        <v>4</v>
      </c>
      <c r="R192" s="98" t="s">
        <v>1172</v>
      </c>
      <c r="S192" s="98" t="s">
        <v>2332</v>
      </c>
    </row>
    <row r="193" spans="1:19" ht="15.75" customHeight="1">
      <c r="A193" s="44" t="b">
        <v>1</v>
      </c>
      <c r="B193" s="96" t="s">
        <v>1068</v>
      </c>
      <c r="C193" s="44" t="s">
        <v>1741</v>
      </c>
      <c r="D193" s="98" t="s">
        <v>1741</v>
      </c>
      <c r="E193" s="98" t="s">
        <v>1798</v>
      </c>
      <c r="F193" s="98" t="s">
        <v>2333</v>
      </c>
      <c r="G193" s="98" t="s">
        <v>1172</v>
      </c>
      <c r="H193" s="98" t="s">
        <v>1172</v>
      </c>
      <c r="I193" s="98" t="s">
        <v>1814</v>
      </c>
      <c r="J193" s="98"/>
      <c r="K193" s="97">
        <v>1</v>
      </c>
      <c r="L193" s="97">
        <v>2</v>
      </c>
      <c r="M193" s="97">
        <v>5</v>
      </c>
      <c r="N193" s="97">
        <v>6</v>
      </c>
      <c r="O193" s="97">
        <v>7</v>
      </c>
      <c r="P193" s="97">
        <v>3</v>
      </c>
      <c r="Q193" s="97">
        <v>4</v>
      </c>
      <c r="R193" s="98" t="s">
        <v>1320</v>
      </c>
      <c r="S193" s="98" t="s">
        <v>2334</v>
      </c>
    </row>
    <row r="194" spans="1:19" ht="15.75" customHeight="1">
      <c r="A194" s="44" t="b">
        <v>1</v>
      </c>
      <c r="B194" s="96" t="s">
        <v>1071</v>
      </c>
      <c r="C194" s="44" t="s">
        <v>1745</v>
      </c>
      <c r="D194" s="98" t="s">
        <v>1745</v>
      </c>
      <c r="E194" s="98" t="s">
        <v>1798</v>
      </c>
      <c r="F194" s="98" t="s">
        <v>2335</v>
      </c>
      <c r="G194" s="98" t="s">
        <v>2336</v>
      </c>
      <c r="H194" s="98" t="s">
        <v>2337</v>
      </c>
      <c r="I194" s="98" t="s">
        <v>1800</v>
      </c>
      <c r="J194" s="98" t="s">
        <v>2338</v>
      </c>
      <c r="K194" s="97">
        <v>2</v>
      </c>
      <c r="L194" s="97">
        <v>3</v>
      </c>
      <c r="M194" s="97">
        <v>1</v>
      </c>
      <c r="N194" s="97">
        <v>4</v>
      </c>
      <c r="O194" s="97">
        <v>6</v>
      </c>
      <c r="P194" s="97">
        <v>5</v>
      </c>
      <c r="Q194" s="97">
        <v>7</v>
      </c>
      <c r="R194" s="98" t="s">
        <v>2339</v>
      </c>
      <c r="S194" s="98" t="s">
        <v>2340</v>
      </c>
    </row>
    <row r="195" spans="1:19" ht="15.75" customHeight="1">
      <c r="A195" s="44" t="b">
        <v>1</v>
      </c>
      <c r="B195" s="96" t="s">
        <v>1076</v>
      </c>
      <c r="C195" s="44" t="s">
        <v>1746</v>
      </c>
      <c r="D195" s="98" t="s">
        <v>1746</v>
      </c>
      <c r="E195" s="98" t="s">
        <v>1798</v>
      </c>
      <c r="F195" s="98" t="s">
        <v>2341</v>
      </c>
      <c r="G195" s="98" t="s">
        <v>1320</v>
      </c>
      <c r="H195" s="98" t="s">
        <v>1320</v>
      </c>
      <c r="I195" s="98" t="s">
        <v>1828</v>
      </c>
      <c r="J195" s="98"/>
      <c r="K195" s="97">
        <v>3</v>
      </c>
      <c r="L195" s="97">
        <v>4</v>
      </c>
      <c r="M195" s="97">
        <v>5</v>
      </c>
      <c r="N195" s="97">
        <v>6</v>
      </c>
      <c r="O195" s="97">
        <v>1</v>
      </c>
      <c r="P195" s="97">
        <v>7</v>
      </c>
      <c r="Q195" s="97">
        <v>2</v>
      </c>
      <c r="R195" s="98" t="s">
        <v>1252</v>
      </c>
      <c r="S195" s="98" t="s">
        <v>2342</v>
      </c>
    </row>
    <row r="196" spans="1:19" ht="15.75" customHeight="1">
      <c r="A196" s="44" t="b">
        <v>1</v>
      </c>
      <c r="B196" s="96" t="s">
        <v>1079</v>
      </c>
      <c r="C196" s="44" t="s">
        <v>1748</v>
      </c>
      <c r="D196" s="98" t="s">
        <v>1756</v>
      </c>
      <c r="E196" s="98" t="s">
        <v>1798</v>
      </c>
      <c r="F196" s="98" t="s">
        <v>2343</v>
      </c>
      <c r="G196" s="98" t="s">
        <v>1937</v>
      </c>
      <c r="H196" s="98" t="s">
        <v>1937</v>
      </c>
      <c r="I196" s="98" t="s">
        <v>2012</v>
      </c>
      <c r="J196" s="98"/>
      <c r="K196" s="97">
        <v>1</v>
      </c>
      <c r="L196" s="97">
        <v>3</v>
      </c>
      <c r="M196" s="97">
        <v>6</v>
      </c>
      <c r="N196" s="97">
        <v>2</v>
      </c>
      <c r="O196" s="97">
        <v>7</v>
      </c>
      <c r="P196" s="97">
        <v>5</v>
      </c>
      <c r="Q196" s="97">
        <v>4</v>
      </c>
      <c r="R196" s="98" t="s">
        <v>1937</v>
      </c>
      <c r="S196" s="98" t="s">
        <v>2344</v>
      </c>
    </row>
    <row r="197" spans="1:19" ht="15.75" customHeight="1">
      <c r="A197" s="44" t="b">
        <v>1</v>
      </c>
      <c r="B197" s="96" t="s">
        <v>1082</v>
      </c>
      <c r="C197" s="44" t="s">
        <v>1332</v>
      </c>
      <c r="D197" s="98" t="s">
        <v>2345</v>
      </c>
      <c r="E197" s="98" t="s">
        <v>1820</v>
      </c>
      <c r="F197" s="98" t="s">
        <v>2346</v>
      </c>
      <c r="G197" s="98" t="s">
        <v>1172</v>
      </c>
      <c r="H197" s="98" t="s">
        <v>1172</v>
      </c>
      <c r="I197" s="98" t="s">
        <v>2012</v>
      </c>
      <c r="J197" s="98"/>
      <c r="K197" s="97">
        <v>2</v>
      </c>
      <c r="L197" s="97">
        <v>1</v>
      </c>
      <c r="M197" s="97">
        <v>5</v>
      </c>
      <c r="N197" s="97">
        <v>4</v>
      </c>
      <c r="O197" s="97">
        <v>3</v>
      </c>
      <c r="P197" s="97">
        <v>6</v>
      </c>
      <c r="Q197" s="97">
        <v>7</v>
      </c>
      <c r="R197" s="98" t="s">
        <v>1172</v>
      </c>
      <c r="S197" s="98" t="s">
        <v>1172</v>
      </c>
    </row>
    <row r="198" spans="1:19" ht="15.75" customHeight="1">
      <c r="A198" s="44" t="b">
        <v>1</v>
      </c>
      <c r="B198" s="96" t="s">
        <v>1084</v>
      </c>
      <c r="C198" s="44" t="s">
        <v>1334</v>
      </c>
      <c r="D198" s="98" t="s">
        <v>1335</v>
      </c>
      <c r="E198" s="98" t="s">
        <v>1820</v>
      </c>
      <c r="F198" s="98" t="s">
        <v>2347</v>
      </c>
      <c r="G198" s="98" t="s">
        <v>1172</v>
      </c>
      <c r="H198" s="98" t="s">
        <v>1172</v>
      </c>
      <c r="I198" s="98" t="s">
        <v>1814</v>
      </c>
      <c r="J198" s="98"/>
      <c r="K198" s="97">
        <v>3</v>
      </c>
      <c r="L198" s="97">
        <v>1</v>
      </c>
      <c r="M198" s="97">
        <v>2</v>
      </c>
      <c r="N198" s="97">
        <v>5</v>
      </c>
      <c r="O198" s="97">
        <v>4</v>
      </c>
      <c r="P198" s="97">
        <v>6</v>
      </c>
      <c r="Q198" s="97">
        <v>7</v>
      </c>
      <c r="R198" s="98" t="s">
        <v>2348</v>
      </c>
      <c r="S198" s="98" t="s">
        <v>2349</v>
      </c>
    </row>
    <row r="199" spans="1:19" ht="15.75" customHeight="1">
      <c r="A199" s="44" t="b">
        <v>1</v>
      </c>
      <c r="B199" s="96" t="s">
        <v>1086</v>
      </c>
      <c r="C199" s="44" t="s">
        <v>1750</v>
      </c>
      <c r="D199" s="98" t="s">
        <v>1758</v>
      </c>
      <c r="E199" s="98" t="s">
        <v>1798</v>
      </c>
      <c r="F199" s="98" t="s">
        <v>2350</v>
      </c>
      <c r="G199" s="98" t="s">
        <v>1856</v>
      </c>
      <c r="H199" s="98" t="s">
        <v>1855</v>
      </c>
      <c r="I199" s="98" t="s">
        <v>1814</v>
      </c>
      <c r="J199" s="98"/>
      <c r="K199" s="97">
        <v>1</v>
      </c>
      <c r="L199" s="97">
        <v>4</v>
      </c>
      <c r="M199" s="97">
        <v>2</v>
      </c>
      <c r="N199" s="97">
        <v>5</v>
      </c>
      <c r="O199" s="97">
        <v>7</v>
      </c>
      <c r="P199" s="97">
        <v>3</v>
      </c>
      <c r="Q199" s="97">
        <v>6</v>
      </c>
      <c r="R199" s="98" t="s">
        <v>1840</v>
      </c>
      <c r="S199" s="98" t="s">
        <v>2351</v>
      </c>
    </row>
    <row r="200" spans="1:19" ht="15.75" customHeight="1">
      <c r="A200" s="44" t="b">
        <v>1</v>
      </c>
      <c r="B200" s="96" t="s">
        <v>1088</v>
      </c>
      <c r="C200" s="44" t="s">
        <v>1751</v>
      </c>
      <c r="D200" s="98" t="s">
        <v>1751</v>
      </c>
      <c r="E200" s="98" t="s">
        <v>1820</v>
      </c>
      <c r="F200" s="98" t="s">
        <v>2352</v>
      </c>
      <c r="G200" s="98" t="s">
        <v>1172</v>
      </c>
      <c r="H200" s="98" t="s">
        <v>1172</v>
      </c>
      <c r="I200" s="98" t="s">
        <v>1828</v>
      </c>
      <c r="J200" s="98"/>
      <c r="K200" s="97">
        <v>3</v>
      </c>
      <c r="L200" s="97">
        <v>1</v>
      </c>
      <c r="M200" s="97">
        <v>4</v>
      </c>
      <c r="N200" s="97">
        <v>5</v>
      </c>
      <c r="O200" s="97">
        <v>6</v>
      </c>
      <c r="P200" s="97">
        <v>7</v>
      </c>
      <c r="Q200" s="97">
        <v>2</v>
      </c>
      <c r="R200" s="98" t="s">
        <v>1172</v>
      </c>
      <c r="S200" s="98" t="s">
        <v>2353</v>
      </c>
    </row>
    <row r="201" spans="1:19" ht="15.75" customHeight="1">
      <c r="A201" s="44" t="b">
        <v>1</v>
      </c>
      <c r="B201" s="96" t="s">
        <v>1093</v>
      </c>
      <c r="C201" s="44" t="s">
        <v>1339</v>
      </c>
      <c r="D201" s="98" t="s">
        <v>2354</v>
      </c>
      <c r="E201" s="98" t="s">
        <v>1820</v>
      </c>
      <c r="F201" s="98" t="s">
        <v>2355</v>
      </c>
      <c r="G201" s="98" t="s">
        <v>1937</v>
      </c>
      <c r="H201" s="98" t="s">
        <v>2356</v>
      </c>
      <c r="I201" s="98" t="s">
        <v>1804</v>
      </c>
      <c r="J201" s="98"/>
      <c r="K201" s="97">
        <v>3</v>
      </c>
      <c r="L201" s="97">
        <v>4</v>
      </c>
      <c r="M201" s="97">
        <v>1</v>
      </c>
      <c r="N201" s="97">
        <v>5</v>
      </c>
      <c r="O201" s="97">
        <v>6</v>
      </c>
      <c r="P201" s="97">
        <v>2</v>
      </c>
      <c r="Q201" s="97">
        <v>7</v>
      </c>
      <c r="R201" s="98" t="s">
        <v>2357</v>
      </c>
      <c r="S201" s="98" t="s">
        <v>1937</v>
      </c>
    </row>
    <row r="202" spans="1:19" ht="15.75" customHeight="1">
      <c r="A202" s="44" t="b">
        <v>1</v>
      </c>
      <c r="B202" s="96" t="s">
        <v>1096</v>
      </c>
      <c r="C202" s="44" t="s">
        <v>1342</v>
      </c>
      <c r="D202" s="98" t="s">
        <v>1343</v>
      </c>
      <c r="E202" s="98" t="s">
        <v>1798</v>
      </c>
      <c r="F202" s="98" t="s">
        <v>2358</v>
      </c>
      <c r="G202" s="98" t="s">
        <v>2106</v>
      </c>
      <c r="H202" s="98" t="s">
        <v>1172</v>
      </c>
      <c r="I202" s="98" t="s">
        <v>1828</v>
      </c>
      <c r="J202" s="98"/>
      <c r="K202" s="97">
        <v>1</v>
      </c>
      <c r="L202" s="97">
        <v>3</v>
      </c>
      <c r="M202" s="97">
        <v>5</v>
      </c>
      <c r="N202" s="97">
        <v>6</v>
      </c>
      <c r="O202" s="97">
        <v>7</v>
      </c>
      <c r="P202" s="97">
        <v>4</v>
      </c>
      <c r="Q202" s="97">
        <v>2</v>
      </c>
      <c r="R202" s="98" t="s">
        <v>2359</v>
      </c>
      <c r="S202" s="98" t="s">
        <v>2360</v>
      </c>
    </row>
    <row r="203" spans="1:19" ht="15.75" customHeight="1">
      <c r="A203" s="44" t="b">
        <v>1</v>
      </c>
      <c r="B203" s="96" t="s">
        <v>1101</v>
      </c>
      <c r="C203" s="44" t="s">
        <v>1754</v>
      </c>
      <c r="D203" s="98" t="s">
        <v>1754</v>
      </c>
      <c r="E203" s="98" t="s">
        <v>1798</v>
      </c>
      <c r="F203" s="98" t="s">
        <v>2361</v>
      </c>
      <c r="G203" s="98" t="s">
        <v>2362</v>
      </c>
      <c r="H203" s="98" t="s">
        <v>2363</v>
      </c>
      <c r="I203" s="98" t="s">
        <v>1804</v>
      </c>
      <c r="J203" s="98"/>
      <c r="K203" s="97">
        <v>3</v>
      </c>
      <c r="L203" s="97">
        <v>5</v>
      </c>
      <c r="M203" s="97">
        <v>1</v>
      </c>
      <c r="N203" s="97">
        <v>7</v>
      </c>
      <c r="O203" s="97">
        <v>2</v>
      </c>
      <c r="P203" s="97">
        <v>6</v>
      </c>
      <c r="Q203" s="97">
        <v>4</v>
      </c>
      <c r="R203" s="98" t="s">
        <v>2364</v>
      </c>
      <c r="S203" s="98" t="s">
        <v>2365</v>
      </c>
    </row>
    <row r="204" spans="1:19" ht="15.75" customHeight="1">
      <c r="A204" s="44" t="b">
        <v>1</v>
      </c>
      <c r="B204" s="96" t="s">
        <v>1104</v>
      </c>
      <c r="C204" s="44" t="s">
        <v>1347</v>
      </c>
      <c r="D204" s="98" t="s">
        <v>1348</v>
      </c>
      <c r="E204" s="98" t="s">
        <v>1798</v>
      </c>
      <c r="F204" s="98" t="s">
        <v>2366</v>
      </c>
      <c r="G204" s="98" t="s">
        <v>1172</v>
      </c>
      <c r="H204" s="98" t="s">
        <v>1172</v>
      </c>
      <c r="I204" s="98" t="s">
        <v>1857</v>
      </c>
      <c r="J204" s="98" t="s">
        <v>2367</v>
      </c>
      <c r="K204" s="97">
        <v>1</v>
      </c>
      <c r="L204" s="97">
        <v>2</v>
      </c>
      <c r="M204" s="97">
        <v>3</v>
      </c>
      <c r="N204" s="97">
        <v>4</v>
      </c>
      <c r="O204" s="97">
        <v>7</v>
      </c>
      <c r="P204" s="97">
        <v>6</v>
      </c>
      <c r="Q204" s="97">
        <v>5</v>
      </c>
      <c r="R204" s="98"/>
      <c r="S204" s="98"/>
    </row>
    <row r="205" spans="1:19" ht="15.75" customHeight="1">
      <c r="A205" s="44" t="b">
        <v>1</v>
      </c>
      <c r="B205" s="96" t="s">
        <v>1107</v>
      </c>
      <c r="C205" s="44" t="s">
        <v>1353</v>
      </c>
      <c r="D205" s="98" t="s">
        <v>2368</v>
      </c>
      <c r="E205" s="98" t="s">
        <v>1820</v>
      </c>
      <c r="F205" s="98" t="s">
        <v>2369</v>
      </c>
      <c r="G205" s="98" t="s">
        <v>1856</v>
      </c>
      <c r="H205" s="98" t="s">
        <v>1856</v>
      </c>
      <c r="I205" s="98" t="s">
        <v>1863</v>
      </c>
      <c r="J205" s="98" t="s">
        <v>2370</v>
      </c>
      <c r="K205" s="97">
        <v>4</v>
      </c>
      <c r="L205" s="97">
        <v>1</v>
      </c>
      <c r="M205" s="97">
        <v>2</v>
      </c>
      <c r="N205" s="97">
        <v>3</v>
      </c>
      <c r="O205" s="97">
        <v>7</v>
      </c>
      <c r="P205" s="97">
        <v>5</v>
      </c>
      <c r="Q205" s="97">
        <v>6</v>
      </c>
      <c r="R205" s="98" t="s">
        <v>2371</v>
      </c>
      <c r="S205" s="98" t="s">
        <v>2372</v>
      </c>
    </row>
    <row r="206" spans="1:19" ht="15.75" customHeight="1">
      <c r="A206" s="44" t="b">
        <v>1</v>
      </c>
      <c r="B206" s="96" t="s">
        <v>1110</v>
      </c>
      <c r="C206" s="44" t="s">
        <v>1762</v>
      </c>
      <c r="D206" s="98" t="s">
        <v>2373</v>
      </c>
      <c r="E206" s="98" t="s">
        <v>1931</v>
      </c>
      <c r="F206" s="98" t="s">
        <v>2374</v>
      </c>
      <c r="G206" s="98" t="s">
        <v>1172</v>
      </c>
      <c r="H206" s="98" t="s">
        <v>2375</v>
      </c>
      <c r="I206" s="98" t="s">
        <v>1828</v>
      </c>
      <c r="J206" s="98"/>
      <c r="K206" s="97">
        <v>4</v>
      </c>
      <c r="L206" s="97">
        <v>1</v>
      </c>
      <c r="M206" s="97">
        <v>3</v>
      </c>
      <c r="N206" s="97">
        <v>5</v>
      </c>
      <c r="O206" s="97">
        <v>2</v>
      </c>
      <c r="P206" s="97">
        <v>6</v>
      </c>
      <c r="Q206" s="97">
        <v>7</v>
      </c>
      <c r="R206" s="98" t="s">
        <v>2376</v>
      </c>
      <c r="S206" s="98" t="s">
        <v>2377</v>
      </c>
    </row>
    <row r="207" spans="1:19" ht="15.75" customHeight="1">
      <c r="A207" s="44" t="b">
        <v>1</v>
      </c>
      <c r="B207" s="96" t="s">
        <v>1113</v>
      </c>
      <c r="C207" s="44" t="s">
        <v>1355</v>
      </c>
      <c r="D207" s="98" t="s">
        <v>1356</v>
      </c>
      <c r="E207" s="98" t="s">
        <v>1820</v>
      </c>
      <c r="F207" s="98" t="s">
        <v>2161</v>
      </c>
      <c r="G207" s="98" t="s">
        <v>1172</v>
      </c>
      <c r="H207" s="98" t="s">
        <v>1172</v>
      </c>
      <c r="I207" s="98" t="s">
        <v>1814</v>
      </c>
      <c r="J207" s="98"/>
      <c r="K207" s="97">
        <v>1</v>
      </c>
      <c r="L207" s="97">
        <v>7</v>
      </c>
      <c r="M207" s="97">
        <v>6</v>
      </c>
      <c r="N207" s="97">
        <v>5</v>
      </c>
      <c r="O207" s="97">
        <v>2</v>
      </c>
      <c r="P207" s="97">
        <v>4</v>
      </c>
      <c r="Q207" s="97">
        <v>3</v>
      </c>
      <c r="R207" s="98" t="s">
        <v>2378</v>
      </c>
      <c r="S207" s="98" t="s">
        <v>2379</v>
      </c>
    </row>
    <row r="208" spans="1:19" ht="15.75" customHeight="1">
      <c r="A208" s="44" t="b">
        <v>1</v>
      </c>
      <c r="B208" s="96" t="s">
        <v>1115</v>
      </c>
      <c r="C208" s="44" t="s">
        <v>1359</v>
      </c>
      <c r="D208" s="98" t="s">
        <v>1360</v>
      </c>
      <c r="E208" s="98" t="s">
        <v>1820</v>
      </c>
      <c r="F208" s="98" t="s">
        <v>2380</v>
      </c>
      <c r="G208" s="98" t="s">
        <v>2381</v>
      </c>
      <c r="H208" s="98" t="s">
        <v>2382</v>
      </c>
      <c r="I208" s="98" t="s">
        <v>1804</v>
      </c>
      <c r="J208" s="98"/>
      <c r="K208" s="97">
        <v>4</v>
      </c>
      <c r="L208" s="97">
        <v>1</v>
      </c>
      <c r="M208" s="97">
        <v>5</v>
      </c>
      <c r="N208" s="97">
        <v>7</v>
      </c>
      <c r="O208" s="97">
        <v>3</v>
      </c>
      <c r="P208" s="97">
        <v>2</v>
      </c>
      <c r="Q208" s="97">
        <v>6</v>
      </c>
      <c r="R208" s="98" t="s">
        <v>1172</v>
      </c>
      <c r="S208" s="98" t="s">
        <v>1172</v>
      </c>
    </row>
    <row r="209" spans="1:19" ht="15.75" customHeight="1">
      <c r="A209" s="44" t="b">
        <v>1</v>
      </c>
      <c r="B209" s="96" t="s">
        <v>1118</v>
      </c>
      <c r="C209" s="44" t="s">
        <v>1769</v>
      </c>
      <c r="D209" s="98" t="s">
        <v>1769</v>
      </c>
      <c r="E209" s="98" t="s">
        <v>1798</v>
      </c>
      <c r="F209" s="98" t="s">
        <v>2383</v>
      </c>
      <c r="G209" s="98" t="s">
        <v>1172</v>
      </c>
      <c r="H209" s="98" t="s">
        <v>1172</v>
      </c>
      <c r="I209" s="98" t="s">
        <v>1828</v>
      </c>
      <c r="J209" s="98"/>
      <c r="K209" s="97">
        <v>1</v>
      </c>
      <c r="L209" s="97">
        <v>2</v>
      </c>
      <c r="M209" s="97">
        <v>7</v>
      </c>
      <c r="N209" s="97">
        <v>3</v>
      </c>
      <c r="O209" s="97">
        <v>5</v>
      </c>
      <c r="P209" s="97">
        <v>4</v>
      </c>
      <c r="Q209" s="97">
        <v>6</v>
      </c>
      <c r="R209" s="98" t="s">
        <v>2384</v>
      </c>
      <c r="S209" s="98" t="s">
        <v>1172</v>
      </c>
    </row>
    <row r="210" spans="1:19" ht="15.75" customHeight="1">
      <c r="A210" s="44" t="b">
        <v>1</v>
      </c>
      <c r="B210" s="96" t="s">
        <v>1121</v>
      </c>
      <c r="C210" s="44" t="s">
        <v>1364</v>
      </c>
      <c r="D210" s="98" t="s">
        <v>1364</v>
      </c>
      <c r="E210" s="98" t="s">
        <v>1798</v>
      </c>
      <c r="F210" s="98" t="s">
        <v>2385</v>
      </c>
      <c r="G210" s="98" t="s">
        <v>2386</v>
      </c>
      <c r="H210" s="98" t="s">
        <v>1252</v>
      </c>
      <c r="I210" s="98" t="s">
        <v>1828</v>
      </c>
      <c r="J210" s="98"/>
      <c r="K210" s="97">
        <v>1</v>
      </c>
      <c r="L210" s="97">
        <v>7</v>
      </c>
      <c r="M210" s="97">
        <v>6</v>
      </c>
      <c r="N210" s="97">
        <v>4</v>
      </c>
      <c r="O210" s="97">
        <v>2</v>
      </c>
      <c r="P210" s="97">
        <v>3</v>
      </c>
      <c r="Q210" s="97">
        <v>5</v>
      </c>
      <c r="R210" s="98" t="s">
        <v>1252</v>
      </c>
      <c r="S210" s="98" t="s">
        <v>2387</v>
      </c>
    </row>
    <row r="211" spans="1:19" ht="15.75" customHeight="1">
      <c r="A211" s="44" t="b">
        <v>1</v>
      </c>
      <c r="B211" s="96" t="s">
        <v>1124</v>
      </c>
      <c r="C211" s="44" t="s">
        <v>1771</v>
      </c>
      <c r="D211" s="98" t="s">
        <v>1771</v>
      </c>
      <c r="E211" s="98" t="s">
        <v>1834</v>
      </c>
      <c r="F211" s="98" t="s">
        <v>1252</v>
      </c>
      <c r="G211" s="98" t="s">
        <v>1252</v>
      </c>
      <c r="H211" s="98" t="s">
        <v>2388</v>
      </c>
      <c r="I211" s="98" t="s">
        <v>2012</v>
      </c>
      <c r="J211" s="98"/>
      <c r="K211" s="97">
        <v>6</v>
      </c>
      <c r="L211" s="97">
        <v>5</v>
      </c>
      <c r="M211" s="97">
        <v>3</v>
      </c>
      <c r="N211" s="97">
        <v>2</v>
      </c>
      <c r="O211" s="97">
        <v>4</v>
      </c>
      <c r="P211" s="97">
        <v>1</v>
      </c>
      <c r="Q211" s="97">
        <v>7</v>
      </c>
      <c r="R211" s="98" t="s">
        <v>1252</v>
      </c>
      <c r="S211" s="98" t="s">
        <v>1252</v>
      </c>
    </row>
    <row r="212" spans="1:19" ht="15.75" customHeight="1">
      <c r="A212" s="44" t="b">
        <v>1</v>
      </c>
      <c r="B212" s="96" t="s">
        <v>1127</v>
      </c>
      <c r="C212" s="44" t="s">
        <v>1369</v>
      </c>
      <c r="D212" s="98" t="s">
        <v>2389</v>
      </c>
      <c r="E212" s="98" t="s">
        <v>1798</v>
      </c>
      <c r="F212" s="98" t="s">
        <v>2390</v>
      </c>
      <c r="G212" s="98" t="s">
        <v>1172</v>
      </c>
      <c r="H212" s="98" t="s">
        <v>1172</v>
      </c>
      <c r="I212" s="98" t="s">
        <v>1828</v>
      </c>
      <c r="J212" s="98"/>
      <c r="K212" s="97">
        <v>1</v>
      </c>
      <c r="L212" s="97">
        <v>2</v>
      </c>
      <c r="M212" s="97">
        <v>3</v>
      </c>
      <c r="N212" s="97">
        <v>4</v>
      </c>
      <c r="O212" s="97">
        <v>5</v>
      </c>
      <c r="P212" s="97">
        <v>6</v>
      </c>
      <c r="Q212" s="97">
        <v>7</v>
      </c>
      <c r="R212" s="98" t="s">
        <v>2106</v>
      </c>
      <c r="S212" s="98" t="s">
        <v>1172</v>
      </c>
    </row>
    <row r="213" spans="1:19" ht="15.75" customHeight="1">
      <c r="A213" s="44" t="b">
        <v>1</v>
      </c>
      <c r="B213" s="96" t="s">
        <v>1130</v>
      </c>
      <c r="C213" s="44" t="s">
        <v>1375</v>
      </c>
      <c r="D213" s="98" t="s">
        <v>1375</v>
      </c>
      <c r="E213" s="98" t="s">
        <v>1820</v>
      </c>
      <c r="F213" s="98" t="s">
        <v>2391</v>
      </c>
      <c r="G213" s="98" t="s">
        <v>1172</v>
      </c>
      <c r="H213" s="98" t="s">
        <v>1172</v>
      </c>
      <c r="I213" s="98" t="s">
        <v>1863</v>
      </c>
      <c r="J213" s="98" t="s">
        <v>2392</v>
      </c>
      <c r="K213" s="97">
        <v>2</v>
      </c>
      <c r="L213" s="97">
        <v>6</v>
      </c>
      <c r="M213" s="97">
        <v>1</v>
      </c>
      <c r="N213" s="97">
        <v>7</v>
      </c>
      <c r="O213" s="97">
        <v>5</v>
      </c>
      <c r="P213" s="97">
        <v>3</v>
      </c>
      <c r="Q213" s="97">
        <v>4</v>
      </c>
      <c r="R213" s="98" t="s">
        <v>2393</v>
      </c>
      <c r="S213" s="98" t="s">
        <v>2394</v>
      </c>
    </row>
    <row r="214" spans="1:19" ht="15.75" customHeight="1">
      <c r="A214" s="44" t="b">
        <v>1</v>
      </c>
      <c r="B214" s="96" t="s">
        <v>1133</v>
      </c>
      <c r="C214" s="44" t="s">
        <v>1773</v>
      </c>
      <c r="D214" s="98" t="s">
        <v>1773</v>
      </c>
      <c r="E214" s="98" t="s">
        <v>1798</v>
      </c>
      <c r="F214" s="98" t="s">
        <v>2395</v>
      </c>
      <c r="G214" s="98" t="s">
        <v>1172</v>
      </c>
      <c r="H214" s="98" t="s">
        <v>1172</v>
      </c>
      <c r="I214" s="98" t="s">
        <v>1857</v>
      </c>
      <c r="J214" s="98" t="s">
        <v>2396</v>
      </c>
      <c r="K214" s="97">
        <v>2</v>
      </c>
      <c r="L214" s="97">
        <v>3</v>
      </c>
      <c r="M214" s="97">
        <v>7</v>
      </c>
      <c r="N214" s="97">
        <v>1</v>
      </c>
      <c r="O214" s="97">
        <v>4</v>
      </c>
      <c r="P214" s="97">
        <v>5</v>
      </c>
      <c r="Q214" s="97">
        <v>6</v>
      </c>
      <c r="R214" s="98" t="s">
        <v>1172</v>
      </c>
      <c r="S214" s="98" t="s">
        <v>2397</v>
      </c>
    </row>
    <row r="215" spans="1:19" ht="15.75" customHeight="1">
      <c r="A215" s="44" t="b">
        <v>1</v>
      </c>
      <c r="B215" s="96" t="s">
        <v>1136</v>
      </c>
      <c r="C215" s="44" t="s">
        <v>1775</v>
      </c>
      <c r="D215" s="98" t="s">
        <v>2398</v>
      </c>
      <c r="E215" s="98" t="s">
        <v>1798</v>
      </c>
      <c r="F215" s="98" t="s">
        <v>2399</v>
      </c>
      <c r="G215" s="98" t="s">
        <v>1172</v>
      </c>
      <c r="H215" s="98" t="s">
        <v>1172</v>
      </c>
      <c r="I215" s="98" t="s">
        <v>1828</v>
      </c>
      <c r="J215" s="98"/>
      <c r="K215" s="97">
        <v>2</v>
      </c>
      <c r="L215" s="97">
        <v>1</v>
      </c>
      <c r="M215" s="97">
        <v>4</v>
      </c>
      <c r="N215" s="97">
        <v>7</v>
      </c>
      <c r="O215" s="97">
        <v>5</v>
      </c>
      <c r="P215" s="97">
        <v>6</v>
      </c>
      <c r="Q215" s="97">
        <v>3</v>
      </c>
      <c r="R215" s="98" t="s">
        <v>2400</v>
      </c>
      <c r="S215" s="98" t="s">
        <v>2401</v>
      </c>
    </row>
    <row r="218" spans="1:19" ht="15.75" customHeight="1">
      <c r="J218" t="s">
        <v>2402</v>
      </c>
      <c r="K218">
        <f>COUNTIF(K2:K215,1)</f>
        <v>72</v>
      </c>
      <c r="L218">
        <f t="shared" ref="L218:Q218" si="0">COUNTIF(L2:L215,1)</f>
        <v>52</v>
      </c>
      <c r="M218">
        <f t="shared" si="0"/>
        <v>40</v>
      </c>
      <c r="N218">
        <f t="shared" si="0"/>
        <v>20</v>
      </c>
      <c r="O218">
        <f t="shared" si="0"/>
        <v>12</v>
      </c>
      <c r="P218">
        <f t="shared" si="0"/>
        <v>15</v>
      </c>
      <c r="Q218">
        <f t="shared" si="0"/>
        <v>2</v>
      </c>
      <c r="S218">
        <f>SUM(K218:Q218)</f>
        <v>213</v>
      </c>
    </row>
    <row r="219" spans="1:19" ht="15.75" customHeight="1">
      <c r="J219" t="s">
        <v>2403</v>
      </c>
      <c r="K219">
        <f>COUNTIF(K2:K215,2)</f>
        <v>40</v>
      </c>
      <c r="L219">
        <f t="shared" ref="L219:Q219" si="1">COUNTIF(L2:L215,2)</f>
        <v>53</v>
      </c>
      <c r="M219">
        <f t="shared" si="1"/>
        <v>47</v>
      </c>
      <c r="N219">
        <f t="shared" si="1"/>
        <v>22</v>
      </c>
      <c r="O219">
        <f t="shared" si="1"/>
        <v>22</v>
      </c>
      <c r="P219">
        <f t="shared" si="1"/>
        <v>22</v>
      </c>
      <c r="Q219">
        <f t="shared" si="1"/>
        <v>7</v>
      </c>
    </row>
    <row r="222" spans="1:19" ht="15.75" customHeight="1">
      <c r="K222" s="80" t="s">
        <v>2404</v>
      </c>
    </row>
  </sheetData>
  <autoFilter ref="A1:S215" xr:uid="{F8E5281D-B345-5D44-BDDF-AFF8746685D0}"/>
  <sortState xmlns:xlrd2="http://schemas.microsoft.com/office/spreadsheetml/2017/richdata2" ref="A2:S87">
    <sortCondition ref="B2:B87"/>
  </sortState>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53D8-2F7E-244C-A913-DAB0EF513C06}">
  <dimension ref="A1:Q9"/>
  <sheetViews>
    <sheetView workbookViewId="0">
      <selection activeCell="M26" sqref="M26"/>
    </sheetView>
  </sheetViews>
  <sheetFormatPr defaultColWidth="11" defaultRowHeight="15.75"/>
  <cols>
    <col min="6" max="6" width="14.875" bestFit="1" customWidth="1"/>
    <col min="7" max="7" width="13.625" bestFit="1" customWidth="1"/>
    <col min="10" max="10" width="13.875" bestFit="1" customWidth="1"/>
    <col min="13" max="13" width="16.125" bestFit="1" customWidth="1"/>
    <col min="15" max="15" width="15.5" bestFit="1" customWidth="1"/>
  </cols>
  <sheetData>
    <row r="1" spans="1:17">
      <c r="A1" t="s">
        <v>10</v>
      </c>
      <c r="F1" s="63" t="s">
        <v>2405</v>
      </c>
      <c r="G1" s="64"/>
      <c r="H1" s="65" t="s">
        <v>2406</v>
      </c>
      <c r="I1" s="64"/>
      <c r="J1" s="66" t="s">
        <v>2407</v>
      </c>
    </row>
    <row r="2" spans="1:17">
      <c r="A2" t="s">
        <v>117</v>
      </c>
      <c r="F2" s="63">
        <f>COUNTIF('BodyData-Timings'!U3:U195, "&lt;=18.4")</f>
        <v>11</v>
      </c>
      <c r="G2" s="64"/>
      <c r="H2" s="65">
        <f>COUNTIFS('BodyData-Timings'!U3:U195, "&lt;=24.9", 'BodyData-Timings'!U3:U195, "&gt;=18.5")</f>
        <v>115</v>
      </c>
      <c r="I2" s="64"/>
      <c r="J2" s="66">
        <f>COUNTIF('BodyData-Timings'!U3:U195, "&gt;=25.0")</f>
        <v>67</v>
      </c>
      <c r="L2">
        <f>F2++H2+J2</f>
        <v>193</v>
      </c>
      <c r="M2" t="s">
        <v>2408</v>
      </c>
    </row>
    <row r="3" spans="1:17">
      <c r="A3" t="s">
        <v>62</v>
      </c>
      <c r="F3" s="64"/>
      <c r="G3" s="64"/>
      <c r="H3" s="64"/>
      <c r="I3" s="64"/>
      <c r="J3" s="64"/>
    </row>
    <row r="4" spans="1:17">
      <c r="A4" t="s">
        <v>84</v>
      </c>
      <c r="F4" s="64"/>
      <c r="G4" s="64"/>
      <c r="H4" s="64"/>
      <c r="I4" s="64"/>
      <c r="J4" s="64"/>
    </row>
    <row r="5" spans="1:17">
      <c r="A5" t="s">
        <v>75</v>
      </c>
      <c r="F5" s="64"/>
      <c r="G5" s="64"/>
      <c r="H5" s="64"/>
      <c r="I5" s="64"/>
      <c r="J5" s="64"/>
    </row>
    <row r="6" spans="1:17">
      <c r="F6" s="64"/>
      <c r="G6" s="67" t="s">
        <v>2409</v>
      </c>
      <c r="H6" s="64"/>
      <c r="I6" s="68" t="s">
        <v>2410</v>
      </c>
      <c r="J6" s="64"/>
      <c r="M6" s="74" t="s">
        <v>2411</v>
      </c>
      <c r="N6" s="64"/>
      <c r="O6" s="68" t="s">
        <v>2412</v>
      </c>
    </row>
    <row r="7" spans="1:17">
      <c r="F7" s="64"/>
      <c r="G7" s="67">
        <f>G8+G9</f>
        <v>135</v>
      </c>
      <c r="H7" s="64"/>
      <c r="I7" s="68">
        <f>I8+I9</f>
        <v>76</v>
      </c>
      <c r="J7" s="64">
        <f>G7+I7</f>
        <v>211</v>
      </c>
      <c r="M7" s="64">
        <f>COUNTIFS('BodyData-Timings'!H3:H195, "No")</f>
        <v>77</v>
      </c>
      <c r="N7" s="64"/>
      <c r="O7" s="64">
        <f>COUNTIFS('BodyData-Timings'!H3:H195, "Yes")</f>
        <v>116</v>
      </c>
      <c r="Q7">
        <f>M7+O7</f>
        <v>193</v>
      </c>
    </row>
    <row r="8" spans="1:17">
      <c r="F8" s="71" t="s">
        <v>63</v>
      </c>
      <c r="G8" s="64">
        <f>COUNTIFS('BodyData-Timings'!U3:U216, "&lt;=24.9", 'BodyData-Timings'!G3:G216, "Male")</f>
        <v>57</v>
      </c>
      <c r="H8" s="64"/>
      <c r="I8" s="64">
        <f>COUNTIFS('BodyData-Timings'!U3:U216, "&gt;=25.0", 'BodyData-Timings'!G3:G216, "Male")</f>
        <v>48</v>
      </c>
      <c r="J8">
        <f>G8+I8</f>
        <v>105</v>
      </c>
    </row>
    <row r="9" spans="1:17">
      <c r="F9" s="72" t="s">
        <v>85</v>
      </c>
      <c r="G9" s="64">
        <f>COUNTIFS('BodyData-Timings'!U3:U216, "&lt;=24.9", 'BodyData-Timings'!G3:G216, "Female")-2</f>
        <v>78</v>
      </c>
      <c r="H9" s="64"/>
      <c r="I9" s="64">
        <f>COUNTIFS('BodyData-Timings'!U3:U216, "&gt;=25.0", 'BodyData-Timings'!G3:G216, "Female")</f>
        <v>28</v>
      </c>
      <c r="J9">
        <f>G9+I9</f>
        <v>106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7aceda2-9b5c-4efe-8aa3-9653b790d314" xsi:nil="true"/>
    <lcf76f155ced4ddcb4097134ff3c332f xmlns="2f2bc8ea-82c9-4ff7-8abf-5d3fca41ee7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6554AE1E2D9E34E94DBFA9CE3D9ED26" ma:contentTypeVersion="15" ma:contentTypeDescription="Create a new document." ma:contentTypeScope="" ma:versionID="05ed12ee451ff2954d3a48fa0b3777b1">
  <xsd:schema xmlns:xsd="http://www.w3.org/2001/XMLSchema" xmlns:xs="http://www.w3.org/2001/XMLSchema" xmlns:p="http://schemas.microsoft.com/office/2006/metadata/properties" xmlns:ns2="2f2bc8ea-82c9-4ff7-8abf-5d3fca41ee70" xmlns:ns3="27aceda2-9b5c-4efe-8aa3-9653b790d314" targetNamespace="http://schemas.microsoft.com/office/2006/metadata/properties" ma:root="true" ma:fieldsID="14f433b491cf22495e09781a7bb61874" ns2:_="" ns3:_="">
    <xsd:import namespace="2f2bc8ea-82c9-4ff7-8abf-5d3fca41ee70"/>
    <xsd:import namespace="27aceda2-9b5c-4efe-8aa3-9653b790d31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2bc8ea-82c9-4ff7-8abf-5d3fca41ee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0cca7581-5256-458a-b218-643d9525617e"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7aceda2-9b5c-4efe-8aa3-9653b790d314"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0cb29034-89e7-4489-8089-02d89682734a}" ma:internalName="TaxCatchAll" ma:showField="CatchAllData" ma:web="27aceda2-9b5c-4efe-8aa3-9653b790d31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3051A6-2788-4D43-8136-8B6D71E57209}">
  <ds:schemaRefs>
    <ds:schemaRef ds:uri="http://schemas.microsoft.com/office/2006/metadata/properties"/>
    <ds:schemaRef ds:uri="http://schemas.microsoft.com/office/infopath/2007/PartnerControls"/>
    <ds:schemaRef ds:uri="27aceda2-9b5c-4efe-8aa3-9653b790d314"/>
    <ds:schemaRef ds:uri="2f2bc8ea-82c9-4ff7-8abf-5d3fca41ee70"/>
  </ds:schemaRefs>
</ds:datastoreItem>
</file>

<file path=customXml/itemProps2.xml><?xml version="1.0" encoding="utf-8"?>
<ds:datastoreItem xmlns:ds="http://schemas.openxmlformats.org/officeDocument/2006/customXml" ds:itemID="{EEC26323-5541-4934-AB73-9B80CFCA58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2bc8ea-82c9-4ff7-8abf-5d3fca41ee70"/>
    <ds:schemaRef ds:uri="27aceda2-9b5c-4efe-8aa3-9653b790d31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932457B-4CCD-44B5-86E8-5AEF013E6AD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BodyData-Timings</vt:lpstr>
      <vt:lpstr>Pre-Q</vt:lpstr>
      <vt:lpstr>Post-Q</vt:lpstr>
      <vt:lpstr>Dropdown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Yap Zi Ning</dc:creator>
  <cp:keywords/>
  <dc:description/>
  <cp:lastModifiedBy>Byun Hyunbin</cp:lastModifiedBy>
  <cp:revision/>
  <dcterms:created xsi:type="dcterms:W3CDTF">2024-06-29T08:14:50Z</dcterms:created>
  <dcterms:modified xsi:type="dcterms:W3CDTF">2026-02-10T07:26:53Z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0x010100A6554AE1E2D9E34E94DBFA9CE3D9ED26</vt:lpwstr>
  </property>
  <property fmtid="{D5CDD505-2E9C-101B-9397-08002B2CF9AE}" pid="3" name="MediaServiceImageTags">
    <vt:lpwstr/>
  </property>
</Properties>
</file>